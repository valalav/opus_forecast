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04" yWindow="-104" windowWidth="22326" windowHeight="13329" tabRatio="600" firstSheet="0" activeTab="0" autoFilterDateGrouping="1"/>
  </bookViews>
  <sheets>
    <sheet xmlns:r="http://schemas.openxmlformats.org/officeDocument/2006/relationships" name="Прогноз" sheetId="1" state="visible" r:id="rId1"/>
    <sheet xmlns:r="http://schemas.openxmlformats.org/officeDocument/2006/relationships" name="Прогноз (2)" sheetId="2" state="visible" r:id="rId2"/>
    <sheet xmlns:r="http://schemas.openxmlformats.org/officeDocument/2006/relationships" name="РасчетSaar" sheetId="3" state="visible" r:id="rId3"/>
    <sheet xmlns:r="http://schemas.openxmlformats.org/officeDocument/2006/relationships" name="Корректировки" sheetId="4" state="visible" r:id="rId4"/>
    <sheet xmlns:r="http://schemas.openxmlformats.org/officeDocument/2006/relationships" name="Описания" sheetId="5" state="hidden" r:id="rId5"/>
    <sheet xmlns:r="http://schemas.openxmlformats.org/officeDocument/2006/relationships" name="Параметры" sheetId="6" state="hidden" r:id="rId6"/>
    <sheet xmlns:r="http://schemas.openxmlformats.org/officeDocument/2006/relationships" name="Лист1" sheetId="7" state="visible" r:id="rId7"/>
    <sheet xmlns:r="http://schemas.openxmlformats.org/officeDocument/2006/relationships" name="for_sa" sheetId="8" state="visible" r:id="rId8"/>
  </sheets>
  <externalReferences>
    <externalReference xmlns:r="http://schemas.openxmlformats.org/officeDocument/2006/relationships" r:id="rId9"/>
  </externalReferences>
  <definedNames>
    <definedName name="рассчитываемБИПЦ">[1]БИПЦ!$D$1</definedName>
    <definedName name="ExternalData_1" localSheetId="6" hidden="1">Лист1!$A$1:$C$16</definedName>
    <definedName name="ExternalData_2" localSheetId="6" hidden="1">Лист1!$I$1:$K$185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_-* #,##0.00_-;\-* #,##0.00_-;_-* &quot;-&quot;??_-;_-@_-"/>
  </numFmts>
  <fonts count="14"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sz val="8"/>
      <scheme val="minor"/>
    </font>
    <font>
      <name val="Calibri"/>
      <charset val="204"/>
      <family val="2"/>
      <sz val="8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1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theme="0"/>
      <sz val="11"/>
      <scheme val="minor"/>
    </font>
    <font>
      <name val="Calibri"/>
      <charset val="204"/>
      <family val="2"/>
      <color theme="0" tint="-0.499984740745262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5" fillId="0" borderId="0"/>
    <xf numFmtId="0" fontId="6" fillId="0" borderId="0"/>
    <xf numFmtId="9" fontId="6" fillId="0" borderId="0"/>
    <xf numFmtId="0" fontId="5" fillId="0" borderId="0"/>
    <xf numFmtId="0" fontId="10" fillId="4" borderId="0"/>
    <xf numFmtId="0" fontId="11" fillId="5" borderId="0"/>
  </cellStyleXfs>
  <cellXfs count="1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6" fillId="0" borderId="0" pivotButton="0" quotePrefix="0" xfId="1"/>
    <xf numFmtId="0" fontId="6" fillId="0" borderId="0" applyAlignment="1" pivotButton="0" quotePrefix="0" xfId="1">
      <alignment horizontal="center" vertical="center"/>
    </xf>
    <xf numFmtId="164" fontId="6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/>
    </xf>
    <xf numFmtId="0" fontId="1" fillId="0" borderId="0" pivotButton="0" quotePrefix="0" xfId="0"/>
    <xf numFmtId="14" fontId="0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2" fontId="1" fillId="0" borderId="2" applyAlignment="1" pivotButton="0" quotePrefix="0" xfId="0">
      <alignment horizontal="center" vertical="center" wrapText="1"/>
    </xf>
    <xf numFmtId="2" fontId="7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 wrapText="1"/>
    </xf>
    <xf numFmtId="14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3" borderId="0" applyAlignment="1" pivotButton="0" quotePrefix="0" xfId="0">
      <alignment horizontal="center"/>
    </xf>
    <xf numFmtId="2" fontId="1" fillId="3" borderId="0" applyAlignment="1" pivotButton="0" quotePrefix="0" xfId="0">
      <alignment horizontal="center" vertical="center"/>
    </xf>
    <xf numFmtId="14" fontId="11" fillId="5" borderId="0" applyAlignment="1" pivotButton="0" quotePrefix="0" xfId="5">
      <alignment horizontal="center" vertical="center"/>
    </xf>
    <xf numFmtId="14" fontId="10" fillId="4" borderId="0" applyAlignment="1" pivotButton="0" quotePrefix="0" xfId="4">
      <alignment horizontal="center" vertical="center"/>
    </xf>
    <xf numFmtId="2" fontId="11" fillId="5" borderId="0" applyAlignment="1" pivotButton="0" quotePrefix="0" xfId="5">
      <alignment horizontal="center"/>
    </xf>
    <xf numFmtId="14" fontId="1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4" fontId="1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14" fontId="1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2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2" fontId="1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2" fontId="2" fillId="0" borderId="6" applyAlignment="1" pivotButton="0" quotePrefix="0" xfId="0">
      <alignment horizontal="center" vertical="center"/>
    </xf>
    <xf numFmtId="2" fontId="5" fillId="4" borderId="0" applyAlignment="1" pivotButton="0" quotePrefix="0" xfId="4">
      <alignment horizontal="center"/>
    </xf>
    <xf numFmtId="14" fontId="1" fillId="0" borderId="6" applyAlignment="1" pivotButton="0" quotePrefix="0" xfId="0">
      <alignment horizontal="center" wrapText="1"/>
    </xf>
    <xf numFmtId="14" fontId="1" fillId="0" borderId="6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2" fontId="12" fillId="0" borderId="6" applyAlignment="1" pivotButton="0" quotePrefix="0" xfId="0">
      <alignment horizontal="center"/>
    </xf>
    <xf numFmtId="2" fontId="7" fillId="0" borderId="0" applyAlignment="1" pivotButton="0" quotePrefix="0" xfId="0">
      <alignment horizontal="center" wrapText="1"/>
    </xf>
    <xf numFmtId="14" fontId="1" fillId="0" borderId="8" applyAlignment="1" pivotButton="0" quotePrefix="0" xfId="0">
      <alignment horizontal="center" vertical="center" wrapText="1"/>
    </xf>
    <xf numFmtId="2" fontId="1" fillId="0" borderId="8" applyAlignment="1" pivotButton="0" quotePrefix="0" xfId="0">
      <alignment horizontal="center" vertical="center"/>
    </xf>
    <xf numFmtId="2" fontId="1" fillId="0" borderId="8" applyAlignment="1" pivotButton="0" quotePrefix="0" xfId="0">
      <alignment horizontal="center"/>
    </xf>
    <xf numFmtId="2" fontId="11" fillId="5" borderId="6" applyAlignment="1" pivotButton="0" quotePrefix="0" xfId="5">
      <alignment horizontal="center"/>
    </xf>
    <xf numFmtId="0" fontId="7" fillId="0" borderId="6" applyAlignment="1" pivotButton="0" quotePrefix="0" xfId="0">
      <alignment wrapText="1"/>
    </xf>
    <xf numFmtId="0" fontId="0" fillId="0" borderId="6" pivotButton="0" quotePrefix="0" xfId="0"/>
    <xf numFmtId="2" fontId="7" fillId="0" borderId="6" applyAlignment="1" pivotButton="0" quotePrefix="0" xfId="0">
      <alignment horizontal="center"/>
    </xf>
    <xf numFmtId="14" fontId="1" fillId="0" borderId="8" applyAlignment="1" pivotButton="0" quotePrefix="0" xfId="0">
      <alignment horizontal="center" wrapText="1"/>
    </xf>
    <xf numFmtId="2" fontId="12" fillId="0" borderId="8" applyAlignment="1" pivotButton="0" quotePrefix="0" xfId="0">
      <alignment horizontal="center"/>
    </xf>
    <xf numFmtId="2" fontId="11" fillId="5" borderId="8" applyAlignment="1" pivotButton="0" quotePrefix="0" xfId="5">
      <alignment horizontal="center"/>
    </xf>
    <xf numFmtId="14" fontId="1" fillId="0" borderId="9" applyAlignment="1" pivotButton="0" quotePrefix="0" xfId="0">
      <alignment horizontal="center" wrapText="1"/>
    </xf>
    <xf numFmtId="2" fontId="1" fillId="0" borderId="9" applyAlignment="1" pivotButton="0" quotePrefix="0" xfId="0">
      <alignment horizontal="center"/>
    </xf>
    <xf numFmtId="2" fontId="12" fillId="0" borderId="9" applyAlignment="1" pivotButton="0" quotePrefix="0" xfId="0">
      <alignment horizontal="center"/>
    </xf>
    <xf numFmtId="2" fontId="11" fillId="5" borderId="9" applyAlignment="1" pivotButton="0" quotePrefix="0" xfId="5">
      <alignment horizontal="center"/>
    </xf>
    <xf numFmtId="14" fontId="1" fillId="0" borderId="10" applyAlignment="1" pivotButton="0" quotePrefix="0" xfId="0">
      <alignment horizontal="center"/>
    </xf>
    <xf numFmtId="2" fontId="1" fillId="0" borderId="11" applyAlignment="1" pivotButton="0" quotePrefix="0" xfId="0">
      <alignment horizontal="center"/>
    </xf>
    <xf numFmtId="2" fontId="12" fillId="0" borderId="11" applyAlignment="1" pivotButton="0" quotePrefix="0" xfId="0">
      <alignment horizontal="center"/>
    </xf>
    <xf numFmtId="2" fontId="11" fillId="5" borderId="11" applyAlignment="1" pivotButton="0" quotePrefix="0" xfId="5">
      <alignment horizontal="center"/>
    </xf>
    <xf numFmtId="165" fontId="1" fillId="0" borderId="12" applyAlignment="1" pivotButton="0" quotePrefix="0" xfId="0">
      <alignment horizontal="center"/>
    </xf>
    <xf numFmtId="2" fontId="11" fillId="5" borderId="12" applyAlignment="1" pivotButton="0" quotePrefix="0" xfId="5">
      <alignment horizontal="center"/>
    </xf>
    <xf numFmtId="2" fontId="1" fillId="0" borderId="12" applyAlignment="1" pivotButton="0" quotePrefix="0" xfId="0">
      <alignment horizontal="center"/>
    </xf>
    <xf numFmtId="2" fontId="5" fillId="4" borderId="12" applyAlignment="1" pivotButton="0" quotePrefix="0" xfId="4">
      <alignment horizontal="center"/>
    </xf>
    <xf numFmtId="2" fontId="11" fillId="5" borderId="13" applyAlignment="1" pivotButton="0" quotePrefix="0" xfId="5">
      <alignment horizontal="center"/>
    </xf>
    <xf numFmtId="0" fontId="4" fillId="0" borderId="9" applyAlignment="1" pivotButton="0" quotePrefix="0" xfId="0">
      <alignment horizontal="center"/>
    </xf>
    <xf numFmtId="2" fontId="11" fillId="6" borderId="12" applyAlignment="1" pivotButton="0" quotePrefix="0" xfId="5">
      <alignment horizontal="center"/>
    </xf>
    <xf numFmtId="0" fontId="7" fillId="0" borderId="0" applyAlignment="1" pivotButton="0" quotePrefix="0" xfId="0">
      <alignment horizontal="center" wrapText="1"/>
    </xf>
    <xf numFmtId="2" fontId="0" fillId="0" borderId="8" applyAlignment="1" pivotButton="0" quotePrefix="0" xfId="0">
      <alignment horizontal="center"/>
    </xf>
    <xf numFmtId="0" fontId="0" fillId="7" borderId="1" pivotButton="0" quotePrefix="0" xfId="0"/>
    <xf numFmtId="0" fontId="0" fillId="0" borderId="1" pivotButton="0" quotePrefix="0" xfId="0"/>
    <xf numFmtId="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2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2" fontId="1" fillId="6" borderId="6" applyAlignment="1" pivotButton="0" quotePrefix="0" xfId="0">
      <alignment horizontal="center"/>
    </xf>
    <xf numFmtId="2" fontId="5" fillId="0" borderId="0" applyAlignment="1" pivotButton="0" quotePrefix="0" xfId="4">
      <alignment horizontal="center"/>
    </xf>
    <xf numFmtId="2" fontId="5" fillId="0" borderId="12" applyAlignment="1" pivotButton="0" quotePrefix="0" xfId="4">
      <alignment horizontal="center"/>
    </xf>
    <xf numFmtId="14" fontId="0" fillId="7" borderId="7" pivotButton="0" quotePrefix="0" xfId="0"/>
    <xf numFmtId="0" fontId="0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2" fontId="1" fillId="6" borderId="0" applyAlignment="1" pivotButton="0" quotePrefix="0" xfId="0">
      <alignment horizontal="center" vertical="center"/>
    </xf>
    <xf numFmtId="2" fontId="1" fillId="8" borderId="6" applyAlignment="1" pivotButton="0" quotePrefix="0" xfId="0">
      <alignment horizontal="center"/>
    </xf>
    <xf numFmtId="2" fontId="1" fillId="6" borderId="8" applyAlignment="1" pivotButton="0" quotePrefix="0" xfId="0">
      <alignment horizontal="center"/>
    </xf>
    <xf numFmtId="2" fontId="1" fillId="6" borderId="11" applyAlignment="1" pivotButton="0" quotePrefix="0" xfId="0">
      <alignment horizontal="center"/>
    </xf>
    <xf numFmtId="2" fontId="0" fillId="0" borderId="6" applyAlignment="1" pivotButton="0" quotePrefix="0" xfId="0">
      <alignment horizontal="center"/>
    </xf>
    <xf numFmtId="2" fontId="1" fillId="6" borderId="0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/>
    </xf>
    <xf numFmtId="2" fontId="13" fillId="0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/>
    </xf>
    <xf numFmtId="2" fontId="13" fillId="0" borderId="6" applyAlignment="1" pivotButton="0" quotePrefix="0" xfId="0">
      <alignment horizontal="center"/>
    </xf>
    <xf numFmtId="2" fontId="13" fillId="0" borderId="8" applyAlignment="1" pivotButton="0" quotePrefix="0" xfId="0">
      <alignment horizontal="center"/>
    </xf>
    <xf numFmtId="2" fontId="13" fillId="0" borderId="8" applyAlignment="1" pivotButton="0" quotePrefix="0" xfId="0">
      <alignment horizontal="center" vertical="center"/>
    </xf>
    <xf numFmtId="2" fontId="13" fillId="0" borderId="11" applyAlignment="1" pivotButton="0" quotePrefix="0" xfId="0">
      <alignment horizontal="center"/>
    </xf>
    <xf numFmtId="2" fontId="13" fillId="0" borderId="9" applyAlignment="1" pivotButton="0" quotePrefix="0" xfId="0">
      <alignment horizontal="center"/>
    </xf>
    <xf numFmtId="2" fontId="0" fillId="0" borderId="9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9" fillId="2" borderId="4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14" fontId="7" fillId="4" borderId="0" applyAlignment="1" pivotButton="0" quotePrefix="0" xfId="4">
      <alignment horizontal="center" vertical="center"/>
    </xf>
    <xf numFmtId="165" fontId="1" fillId="0" borderId="0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0" fontId="9" fillId="2" borderId="6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6">
    <cellStyle name="Обычный" xfId="0" builtinId="0"/>
    <cellStyle name="Обычный 2" xfId="1"/>
    <cellStyle name="Процентный 2" xfId="2"/>
    <cellStyle name="Обычный 2 2" xfId="3"/>
    <cellStyle name="Хороший" xfId="4" builtinId="26"/>
    <cellStyle name="Плохой" xfId="5" builtinId="27"/>
  </cellStyles>
  <dxfs count="6">
    <dxf>
      <alignment horizontal="center" vertical="bottom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  <a:endParaRPr lang="ru-RU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lineChart>
        <grouping val="stacked"/>
        <varyColors val="0"/>
        <ser>
          <idx val="0"/>
          <order val="0"/>
          <tx>
            <strRef>
              <f>'Прогноз (2)'!$F$2</f>
              <strCache>
                <ptCount val="1"/>
                <pt idx="0">
                  <v>YoY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'Прогноз (2)'!$A$36:$A$62</f>
              <numCache>
                <formatCode>m/d/yyyy</formatCode>
                <ptCount val="27"/>
                <pt idx="0">
                  <v>45566</v>
                </pt>
                <pt idx="1">
                  <v>45597</v>
                </pt>
                <pt idx="2">
                  <v>45627</v>
                </pt>
                <pt idx="3">
                  <v>45658</v>
                </pt>
                <pt idx="4">
                  <v>45689</v>
                </pt>
                <pt idx="5">
                  <v>45717</v>
                </pt>
                <pt idx="6">
                  <v>45748</v>
                </pt>
                <pt idx="7">
                  <v>45778</v>
                </pt>
                <pt idx="8">
                  <v>45809</v>
                </pt>
                <pt idx="9">
                  <v>45839</v>
                </pt>
                <pt idx="10">
                  <v>45870</v>
                </pt>
                <pt idx="11">
                  <v>45901</v>
                </pt>
                <pt idx="12">
                  <v>45931</v>
                </pt>
                <pt idx="13">
                  <v>45962</v>
                </pt>
                <pt idx="14">
                  <v>45992</v>
                </pt>
                <pt idx="15">
                  <v>46023</v>
                </pt>
                <pt idx="16">
                  <v>46054</v>
                </pt>
                <pt idx="17">
                  <v>46082</v>
                </pt>
                <pt idx="18">
                  <v>46113</v>
                </pt>
                <pt idx="19">
                  <v>46143</v>
                </pt>
                <pt idx="20">
                  <v>46174</v>
                </pt>
                <pt idx="21">
                  <v>46204</v>
                </pt>
                <pt idx="22">
                  <v>46235</v>
                </pt>
                <pt idx="23">
                  <v>46266</v>
                </pt>
                <pt idx="24">
                  <v>46296</v>
                </pt>
                <pt idx="25">
                  <v>46327</v>
                </pt>
                <pt idx="26">
                  <v>46357</v>
                </pt>
              </numCache>
            </numRef>
          </cat>
          <val>
            <numRef>
              <f>'Прогноз (2)'!$F$36:$F$62</f>
              <numCache>
                <formatCode>0.00</formatCode>
                <ptCount val="27"/>
                <pt idx="0">
                  <v>107.49</v>
                </pt>
                <pt idx="1">
                  <v>108.31</v>
                </pt>
                <pt idx="2">
                  <v>108.98</v>
                </pt>
                <pt idx="3">
                  <v>108.95</v>
                </pt>
                <pt idx="4">
                  <v>109.83</v>
                </pt>
                <pt idx="5">
                  <v>110.13</v>
                </pt>
                <pt idx="6">
                  <v>110.3</v>
                </pt>
                <pt idx="7">
                  <v>109.2</v>
                </pt>
                <pt idx="8">
                  <v>108.96</v>
                </pt>
                <pt idx="9">
                  <v>108.19</v>
                </pt>
                <pt idx="10">
                  <v>107.48</v>
                </pt>
                <pt idx="11">
                  <v>107.88</v>
                </pt>
                <pt idx="12">
                  <v>107.36</v>
                </pt>
                <pt idx="13">
                  <v>105.98</v>
                </pt>
                <pt idx="14">
                  <v>105.71</v>
                </pt>
                <pt idx="15">
                  <v>105.51</v>
                </pt>
                <pt idx="16">
                  <v>104.82</v>
                </pt>
                <pt idx="17">
                  <v>104.48</v>
                </pt>
                <pt idx="18">
                  <v>104.45</v>
                </pt>
                <pt idx="19">
                  <v>104.82</v>
                </pt>
                <pt idx="20">
                  <v>104.93</v>
                </pt>
                <pt idx="21">
                  <v>104.97</v>
                </pt>
                <pt idx="22">
                  <v>105.38</v>
                </pt>
                <pt idx="23">
                  <v>104.41</v>
                </pt>
                <pt idx="24">
                  <v>104.17</v>
                </pt>
                <pt idx="25">
                  <v>104.48</v>
                </pt>
                <pt idx="26">
                  <v>104.22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61686047"/>
        <axId val="1160280479"/>
      </lineChart>
      <lineChart>
        <grouping val="stacked"/>
        <varyColors val="0"/>
        <ser>
          <idx val="1"/>
          <order val="1"/>
          <tx>
            <strRef>
              <f>'Прогноз (2)'!$L$2</f>
              <strCache>
                <ptCount val="1"/>
                <pt idx="0">
                  <v>YoY_Old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'Прогноз (2)'!$A$36:$A$62</f>
              <numCache>
                <formatCode>m/d/yyyy</formatCode>
                <ptCount val="27"/>
                <pt idx="0">
                  <v>45566</v>
                </pt>
                <pt idx="1">
                  <v>45597</v>
                </pt>
                <pt idx="2">
                  <v>45627</v>
                </pt>
                <pt idx="3">
                  <v>45658</v>
                </pt>
                <pt idx="4">
                  <v>45689</v>
                </pt>
                <pt idx="5">
                  <v>45717</v>
                </pt>
                <pt idx="6">
                  <v>45748</v>
                </pt>
                <pt idx="7">
                  <v>45778</v>
                </pt>
                <pt idx="8">
                  <v>45809</v>
                </pt>
                <pt idx="9">
                  <v>45839</v>
                </pt>
                <pt idx="10">
                  <v>45870</v>
                </pt>
                <pt idx="11">
                  <v>45901</v>
                </pt>
                <pt idx="12">
                  <v>45931</v>
                </pt>
                <pt idx="13">
                  <v>45962</v>
                </pt>
                <pt idx="14">
                  <v>45992</v>
                </pt>
                <pt idx="15">
                  <v>46023</v>
                </pt>
                <pt idx="16">
                  <v>46054</v>
                </pt>
                <pt idx="17">
                  <v>46082</v>
                </pt>
                <pt idx="18">
                  <v>46113</v>
                </pt>
                <pt idx="19">
                  <v>46143</v>
                </pt>
                <pt idx="20">
                  <v>46174</v>
                </pt>
                <pt idx="21">
                  <v>46204</v>
                </pt>
                <pt idx="22">
                  <v>46235</v>
                </pt>
                <pt idx="23">
                  <v>46266</v>
                </pt>
                <pt idx="24">
                  <v>46296</v>
                </pt>
                <pt idx="25">
                  <v>46327</v>
                </pt>
                <pt idx="26">
                  <v>46357</v>
                </pt>
              </numCache>
            </numRef>
          </cat>
          <val>
            <numRef>
              <f>'Прогноз (2)'!$L$36:$L$50</f>
              <numCache>
                <formatCode>0.00</formatCode>
                <ptCount val="15"/>
                <pt idx="0">
                  <v>107.49</v>
                </pt>
                <pt idx="1">
                  <v>108.31</v>
                </pt>
                <pt idx="2">
                  <v>108.98</v>
                </pt>
                <pt idx="3">
                  <v>108.95</v>
                </pt>
                <pt idx="4">
                  <v>109.83</v>
                </pt>
                <pt idx="5">
                  <v>110.13</v>
                </pt>
                <pt idx="6">
                  <v>110.3</v>
                </pt>
                <pt idx="7">
                  <v>109.2</v>
                </pt>
                <pt idx="8">
                  <v>108.96</v>
                </pt>
                <pt idx="9">
                  <v>108.77</v>
                </pt>
                <pt idx="10">
                  <v>108.89</v>
                </pt>
                <pt idx="11">
                  <v>108.6</v>
                </pt>
                <pt idx="12">
                  <v>107.41</v>
                </pt>
                <pt idx="13">
                  <v>106.41</v>
                </pt>
                <pt idx="14">
                  <v>106.08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68013663"/>
        <axId val="1161684383"/>
      </lineChart>
      <dateAx>
        <axId val="1161686047"/>
        <scaling>
          <orientation val="minMax"/>
        </scaling>
        <delete val="0"/>
        <axPos val="b"/>
        <numFmt formatCode="m/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160280479"/>
        <crosses val="autoZero"/>
        <lblOffset val="100"/>
        <baseTimeUnit val="months"/>
      </dateAx>
      <valAx>
        <axId val="116028047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161686047"/>
        <crosses val="autoZero"/>
        <crossBetween val="between"/>
      </valAx>
      <dateAx>
        <axId val="1168013663"/>
        <scaling>
          <orientation val="minMax"/>
        </scaling>
        <delete val="1"/>
        <axPos val="b"/>
        <numFmt formatCode="m/d/yyyy" sourceLinked="1"/>
        <majorTickMark val="out"/>
        <minorTickMark val="none"/>
        <tickLblPos val="nextTo"/>
        <crossAx val="1161684383"/>
        <crosses val="autoZero"/>
        <lblOffset val="100"/>
        <baseTimeUnit val="months"/>
      </dateAx>
      <valAx>
        <axId val="1161684383"/>
        <scaling>
          <orientation val="minMax"/>
        </scaling>
        <delete val="0"/>
        <axPos val="r"/>
        <numFmt formatCode="0.0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168013663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</a:t>
            </a:r>
            <a:r>
              <a:rPr lang="en-US" baseline="0"/>
              <a:t>mom</a:t>
            </a:r>
            <a:r>
              <a:rPr lang="ru-RU" baseline="0"/>
              <a:t> </a:t>
            </a:r>
            <a:endParaRPr lang="ru-RU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Прогноз!$A$39:$A$62</f>
              <numCache>
                <formatCode>m/d/yyyy</formatCode>
                <ptCount val="24"/>
                <pt idx="0">
                  <v>45658</v>
                </pt>
                <pt idx="1">
                  <v>45689</v>
                </pt>
                <pt idx="2">
                  <v>45717</v>
                </pt>
                <pt idx="3">
                  <v>45748</v>
                </pt>
                <pt idx="4">
                  <v>45778</v>
                </pt>
                <pt idx="5">
                  <v>45809</v>
                </pt>
                <pt idx="6">
                  <v>45839</v>
                </pt>
                <pt idx="7">
                  <v>45870</v>
                </pt>
                <pt idx="8">
                  <v>45901</v>
                </pt>
                <pt idx="9">
                  <v>45931</v>
                </pt>
                <pt idx="10">
                  <v>45962</v>
                </pt>
                <pt idx="11">
                  <v>45992</v>
                </pt>
                <pt idx="12">
                  <v>46023</v>
                </pt>
                <pt idx="13">
                  <v>46054</v>
                </pt>
                <pt idx="14">
                  <v>46082</v>
                </pt>
                <pt idx="15">
                  <v>46113</v>
                </pt>
                <pt idx="16">
                  <v>46143</v>
                </pt>
                <pt idx="17">
                  <v>46174</v>
                </pt>
                <pt idx="18">
                  <v>46204</v>
                </pt>
                <pt idx="19">
                  <v>46235</v>
                </pt>
                <pt idx="20">
                  <v>46266</v>
                </pt>
                <pt idx="21">
                  <v>46296</v>
                </pt>
                <pt idx="22">
                  <v>46327</v>
                </pt>
                <pt idx="23">
                  <v>46357</v>
                </pt>
              </numCache>
            </numRef>
          </cat>
          <val>
            <numRef>
              <f>Прогноз!$B$39:$B$62</f>
              <numCache>
                <formatCode>0.00</formatCode>
                <ptCount val="24"/>
              </numCache>
            </numRef>
          </val>
          <smooth val="0"/>
        </ser>
        <ser>
          <idx val="1"/>
          <order val="1"/>
          <tx>
            <strRef>
              <f>'Прогноз (2)'!$E$2</f>
              <strCache>
                <ptCount val="1"/>
                <pt idx="0">
                  <v>MoM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'Прогноз (2)'!$A$39:$A$62</f>
              <numCache>
                <formatCode>m/d/yyyy</formatCode>
                <ptCount val="24"/>
                <pt idx="0">
                  <v>45658</v>
                </pt>
                <pt idx="1">
                  <v>45689</v>
                </pt>
                <pt idx="2">
                  <v>45717</v>
                </pt>
                <pt idx="3">
                  <v>45748</v>
                </pt>
                <pt idx="4">
                  <v>45778</v>
                </pt>
                <pt idx="5">
                  <v>45809</v>
                </pt>
                <pt idx="6">
                  <v>45839</v>
                </pt>
                <pt idx="7">
                  <v>45870</v>
                </pt>
                <pt idx="8">
                  <v>45901</v>
                </pt>
                <pt idx="9">
                  <v>45931</v>
                </pt>
                <pt idx="10">
                  <v>45962</v>
                </pt>
                <pt idx="11">
                  <v>45992</v>
                </pt>
                <pt idx="12">
                  <v>46023</v>
                </pt>
                <pt idx="13">
                  <v>46054</v>
                </pt>
                <pt idx="14">
                  <v>46082</v>
                </pt>
                <pt idx="15">
                  <v>46113</v>
                </pt>
                <pt idx="16">
                  <v>46143</v>
                </pt>
                <pt idx="17">
                  <v>46174</v>
                </pt>
                <pt idx="18">
                  <v>46204</v>
                </pt>
                <pt idx="19">
                  <v>46235</v>
                </pt>
                <pt idx="20">
                  <v>46266</v>
                </pt>
                <pt idx="21">
                  <v>46296</v>
                </pt>
                <pt idx="22">
                  <v>46327</v>
                </pt>
                <pt idx="23">
                  <v>46357</v>
                </pt>
              </numCache>
            </numRef>
          </cat>
          <val>
            <numRef>
              <f>'Прогноз (2)'!$E$39:$E$62</f>
              <numCache>
                <formatCode>0.00</formatCode>
                <ptCount val="24"/>
                <pt idx="0">
                  <v>100.84</v>
                </pt>
                <pt idx="1">
                  <v>101.34</v>
                </pt>
                <pt idx="2">
                  <v>100.81</v>
                </pt>
                <pt idx="3">
                  <v>100.53</v>
                </pt>
                <pt idx="4">
                  <v>99.93000000000001</v>
                </pt>
                <pt idx="5">
                  <v>99.95999999999999</v>
                </pt>
                <pt idx="6">
                  <v>100.36</v>
                </pt>
                <pt idx="7">
                  <v>99.43000000000001</v>
                </pt>
                <pt idx="8">
                  <v>101</v>
                </pt>
                <pt idx="9">
                  <v>100.53</v>
                </pt>
                <pt idx="10">
                  <v>100.2</v>
                </pt>
                <pt idx="11">
                  <v>100.65</v>
                </pt>
                <pt idx="12">
                  <v>100.65</v>
                </pt>
                <pt idx="13">
                  <v>100.68</v>
                </pt>
                <pt idx="14">
                  <v>100.4848647</v>
                </pt>
                <pt idx="15">
                  <v>100.5</v>
                </pt>
                <pt idx="16">
                  <v>100.2800697</v>
                </pt>
                <pt idx="17">
                  <v>100.066265</v>
                </pt>
                <pt idx="18">
                  <v>100.4</v>
                </pt>
                <pt idx="19">
                  <v>99.81436459999998</v>
                </pt>
                <pt idx="20">
                  <v>100.0715293</v>
                </pt>
                <pt idx="21">
                  <v>100.3</v>
                </pt>
                <pt idx="22">
                  <v>100.5</v>
                </pt>
                <pt idx="23">
                  <v>100.4</v>
                </pt>
              </numCache>
            </numRef>
          </val>
          <smooth val="0"/>
        </ser>
        <ser>
          <idx val="2"/>
          <order val="2"/>
          <tx>
            <strRef>
              <f>'Прогноз (2)'!$J$2</f>
              <strCache>
                <ptCount val="1"/>
                <pt idx="0">
                  <v>MoM_Old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'Прогноз (2)'!$A$39:$A$62</f>
              <numCache>
                <formatCode>m/d/yyyy</formatCode>
                <ptCount val="24"/>
                <pt idx="0">
                  <v>45658</v>
                </pt>
                <pt idx="1">
                  <v>45689</v>
                </pt>
                <pt idx="2">
                  <v>45717</v>
                </pt>
                <pt idx="3">
                  <v>45748</v>
                </pt>
                <pt idx="4">
                  <v>45778</v>
                </pt>
                <pt idx="5">
                  <v>45809</v>
                </pt>
                <pt idx="6">
                  <v>45839</v>
                </pt>
                <pt idx="7">
                  <v>45870</v>
                </pt>
                <pt idx="8">
                  <v>45901</v>
                </pt>
                <pt idx="9">
                  <v>45931</v>
                </pt>
                <pt idx="10">
                  <v>45962</v>
                </pt>
                <pt idx="11">
                  <v>45992</v>
                </pt>
                <pt idx="12">
                  <v>46023</v>
                </pt>
                <pt idx="13">
                  <v>46054</v>
                </pt>
                <pt idx="14">
                  <v>46082</v>
                </pt>
                <pt idx="15">
                  <v>46113</v>
                </pt>
                <pt idx="16">
                  <v>46143</v>
                </pt>
                <pt idx="17">
                  <v>46174</v>
                </pt>
                <pt idx="18">
                  <v>46204</v>
                </pt>
                <pt idx="19">
                  <v>46235</v>
                </pt>
                <pt idx="20">
                  <v>46266</v>
                </pt>
                <pt idx="21">
                  <v>46296</v>
                </pt>
                <pt idx="22">
                  <v>46327</v>
                </pt>
                <pt idx="23">
                  <v>46357</v>
                </pt>
              </numCache>
            </numRef>
          </cat>
          <val>
            <numRef>
              <f>'Прогноз (2)'!$J$39:$J$62</f>
              <numCache>
                <formatCode>0.00</formatCode>
                <ptCount val="24"/>
                <pt idx="0">
                  <v>100.84</v>
                </pt>
                <pt idx="1">
                  <v>101.34</v>
                </pt>
                <pt idx="2">
                  <v>100.81</v>
                </pt>
                <pt idx="3">
                  <v>100.53</v>
                </pt>
                <pt idx="4">
                  <v>99.93000000000001</v>
                </pt>
                <pt idx="5">
                  <v>99.95999999999999</v>
                </pt>
                <pt idx="6">
                  <v>100.9</v>
                </pt>
                <pt idx="7">
                  <v>100.2</v>
                </pt>
                <pt idx="8">
                  <v>100.35</v>
                </pt>
                <pt idx="9">
                  <v>100.58</v>
                </pt>
                <pt idx="10">
                  <v>100.55</v>
                </pt>
                <pt idx="11">
                  <v>100.6</v>
                </pt>
                <pt idx="12">
                  <v>100.55</v>
                </pt>
                <pt idx="13">
                  <v>100.5</v>
                </pt>
                <pt idx="14">
                  <v>100.4848647</v>
                </pt>
                <pt idx="15">
                  <v>100.5</v>
                </pt>
                <pt idx="16">
                  <v>100.2800697</v>
                </pt>
                <pt idx="17">
                  <v>100.066265</v>
                </pt>
                <pt idx="18">
                  <v>100.6</v>
                </pt>
                <pt idx="19">
                  <v>99.81436459999998</v>
                </pt>
                <pt idx="20">
                  <v>100.0715293</v>
                </pt>
                <pt idx="21">
                  <v>100.3</v>
                </pt>
                <pt idx="22">
                  <v>100.5</v>
                </pt>
                <pt idx="23">
                  <v>100.4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243473536"/>
        <axId val="1243465632"/>
      </lineChart>
      <dateAx>
        <axId val="1243473536"/>
        <scaling>
          <orientation val="minMax"/>
        </scaling>
        <delete val="0"/>
        <axPos val="b"/>
        <numFmt formatCode="mm/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243465632"/>
        <crosses val="autoZero"/>
        <lblOffset val="100"/>
        <baseTimeUnit val="months"/>
      </dateAx>
      <valAx>
        <axId val="1243465632"/>
        <scaling>
          <orientation val="minMax"/>
          <min val="99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2434735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en-US"/>
              <a:t xml:space="preserve"> YoY</a:t>
            </a:r>
            <a:r>
              <a:rPr lang="ru-RU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'Прогноз (2)'!$F$2</f>
              <strCache>
                <ptCount val="1"/>
                <pt idx="0">
                  <v>YoY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'Прогноз (2)'!$A$39:$A$62</f>
              <numCache>
                <formatCode>m/d/yyyy</formatCode>
                <ptCount val="24"/>
                <pt idx="0">
                  <v>45658</v>
                </pt>
                <pt idx="1">
                  <v>45689</v>
                </pt>
                <pt idx="2">
                  <v>45717</v>
                </pt>
                <pt idx="3">
                  <v>45748</v>
                </pt>
                <pt idx="4">
                  <v>45778</v>
                </pt>
                <pt idx="5">
                  <v>45809</v>
                </pt>
                <pt idx="6">
                  <v>45839</v>
                </pt>
                <pt idx="7">
                  <v>45870</v>
                </pt>
                <pt idx="8">
                  <v>45901</v>
                </pt>
                <pt idx="9">
                  <v>45931</v>
                </pt>
                <pt idx="10">
                  <v>45962</v>
                </pt>
                <pt idx="11">
                  <v>45992</v>
                </pt>
                <pt idx="12">
                  <v>46023</v>
                </pt>
                <pt idx="13">
                  <v>46054</v>
                </pt>
                <pt idx="14">
                  <v>46082</v>
                </pt>
                <pt idx="15">
                  <v>46113</v>
                </pt>
                <pt idx="16">
                  <v>46143</v>
                </pt>
                <pt idx="17">
                  <v>46174</v>
                </pt>
                <pt idx="18">
                  <v>46204</v>
                </pt>
                <pt idx="19">
                  <v>46235</v>
                </pt>
                <pt idx="20">
                  <v>46266</v>
                </pt>
                <pt idx="21">
                  <v>46296</v>
                </pt>
                <pt idx="22">
                  <v>46327</v>
                </pt>
                <pt idx="23">
                  <v>46357</v>
                </pt>
              </numCache>
            </numRef>
          </cat>
          <val>
            <numRef>
              <f>'Прогноз (2)'!$F$39:$F$62</f>
              <numCache>
                <formatCode>0.00</formatCode>
                <ptCount val="24"/>
                <pt idx="0">
                  <v>108.95</v>
                </pt>
                <pt idx="1">
                  <v>109.83</v>
                </pt>
                <pt idx="2">
                  <v>110.13</v>
                </pt>
                <pt idx="3">
                  <v>110.3</v>
                </pt>
                <pt idx="4">
                  <v>109.2</v>
                </pt>
                <pt idx="5">
                  <v>108.96</v>
                </pt>
                <pt idx="6">
                  <v>108.19</v>
                </pt>
                <pt idx="7">
                  <v>107.48</v>
                </pt>
                <pt idx="8">
                  <v>107.88</v>
                </pt>
                <pt idx="9">
                  <v>107.36</v>
                </pt>
                <pt idx="10">
                  <v>105.98</v>
                </pt>
                <pt idx="11">
                  <v>105.71</v>
                </pt>
                <pt idx="12">
                  <v>105.51</v>
                </pt>
                <pt idx="13">
                  <v>104.82</v>
                </pt>
                <pt idx="14">
                  <v>104.48</v>
                </pt>
                <pt idx="15">
                  <v>104.45</v>
                </pt>
                <pt idx="16">
                  <v>104.82</v>
                </pt>
                <pt idx="17">
                  <v>104.93</v>
                </pt>
                <pt idx="18">
                  <v>104.97</v>
                </pt>
                <pt idx="19">
                  <v>105.38</v>
                </pt>
                <pt idx="20">
                  <v>104.41</v>
                </pt>
                <pt idx="21">
                  <v>104.17</v>
                </pt>
                <pt idx="22">
                  <v>104.48</v>
                </pt>
                <pt idx="23">
                  <v>104.22</v>
                </pt>
              </numCache>
            </numRef>
          </val>
          <smooth val="0"/>
        </ser>
        <ser>
          <idx val="1"/>
          <order val="1"/>
          <tx>
            <strRef>
              <f>'Прогноз (2)'!$L$2</f>
              <strCache>
                <ptCount val="1"/>
                <pt idx="0">
                  <v>YoY_Old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'Прогноз (2)'!$A$39:$A$62</f>
              <numCache>
                <formatCode>m/d/yyyy</formatCode>
                <ptCount val="24"/>
                <pt idx="0">
                  <v>45658</v>
                </pt>
                <pt idx="1">
                  <v>45689</v>
                </pt>
                <pt idx="2">
                  <v>45717</v>
                </pt>
                <pt idx="3">
                  <v>45748</v>
                </pt>
                <pt idx="4">
                  <v>45778</v>
                </pt>
                <pt idx="5">
                  <v>45809</v>
                </pt>
                <pt idx="6">
                  <v>45839</v>
                </pt>
                <pt idx="7">
                  <v>45870</v>
                </pt>
                <pt idx="8">
                  <v>45901</v>
                </pt>
                <pt idx="9">
                  <v>45931</v>
                </pt>
                <pt idx="10">
                  <v>45962</v>
                </pt>
                <pt idx="11">
                  <v>45992</v>
                </pt>
                <pt idx="12">
                  <v>46023</v>
                </pt>
                <pt idx="13">
                  <v>46054</v>
                </pt>
                <pt idx="14">
                  <v>46082</v>
                </pt>
                <pt idx="15">
                  <v>46113</v>
                </pt>
                <pt idx="16">
                  <v>46143</v>
                </pt>
                <pt idx="17">
                  <v>46174</v>
                </pt>
                <pt idx="18">
                  <v>46204</v>
                </pt>
                <pt idx="19">
                  <v>46235</v>
                </pt>
                <pt idx="20">
                  <v>46266</v>
                </pt>
                <pt idx="21">
                  <v>46296</v>
                </pt>
                <pt idx="22">
                  <v>46327</v>
                </pt>
                <pt idx="23">
                  <v>46357</v>
                </pt>
              </numCache>
            </numRef>
          </cat>
          <val>
            <numRef>
              <f>'Прогноз (2)'!$L$39:$L$62</f>
              <numCache>
                <formatCode>0.00</formatCode>
                <ptCount val="24"/>
                <pt idx="0">
                  <v>108.95</v>
                </pt>
                <pt idx="1">
                  <v>109.83</v>
                </pt>
                <pt idx="2">
                  <v>110.13</v>
                </pt>
                <pt idx="3">
                  <v>110.3</v>
                </pt>
                <pt idx="4">
                  <v>109.2</v>
                </pt>
                <pt idx="5">
                  <v>108.96</v>
                </pt>
                <pt idx="6">
                  <v>108.77</v>
                </pt>
                <pt idx="7">
                  <v>108.89</v>
                </pt>
                <pt idx="8">
                  <v>108.6</v>
                </pt>
                <pt idx="9">
                  <v>107.41</v>
                </pt>
                <pt idx="10">
                  <v>106.41</v>
                </pt>
                <pt idx="11">
                  <v>106.08</v>
                </pt>
                <pt idx="12">
                  <v>105.77</v>
                </pt>
                <pt idx="13">
                  <v>104.9</v>
                </pt>
                <pt idx="14">
                  <v>104.56</v>
                </pt>
                <pt idx="15">
                  <v>104.53</v>
                </pt>
                <pt idx="16">
                  <v>104.89</v>
                </pt>
                <pt idx="17">
                  <v>105</v>
                </pt>
                <pt idx="18">
                  <v>105.26</v>
                </pt>
                <pt idx="19">
                  <v>105.66</v>
                </pt>
                <pt idx="20">
                  <v>104.69</v>
                </pt>
                <pt idx="21">
                  <v>104.4</v>
                </pt>
                <pt idx="22">
                  <v>104.35</v>
                </pt>
                <pt idx="23">
                  <v>104.14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43466880"/>
        <axId val="1243470208"/>
      </lineChart>
      <dateAx>
        <axId val="1243466880"/>
        <scaling>
          <orientation val="minMax"/>
        </scaling>
        <delete val="0"/>
        <axPos val="b"/>
        <numFmt formatCode="mm/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243470208"/>
        <crosses val="autoZero"/>
        <lblOffset val="100"/>
        <baseTimeUnit val="months"/>
      </dateAx>
      <valAx>
        <axId val="12434702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2434668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60</col>
      <colOff>162899</colOff>
      <row>26</row>
      <rowOff>157141</rowOff>
    </from>
    <to>
      <col>69</col>
      <colOff>510172</colOff>
      <row>38</row>
      <rowOff>73847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57978</colOff>
      <row>64</row>
      <rowOff>113886</rowOff>
    </from>
    <to>
      <col>16</col>
      <colOff>572328</colOff>
      <row>89</row>
      <rowOff>104361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140803</colOff>
      <row>94</row>
      <rowOff>123409</rowOff>
    </from>
    <to>
      <col>55</col>
      <colOff>405847</colOff>
      <row>118</row>
      <rowOff>140804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_&#1055;&#1088;&#1086;&#1075;&#1085;&#1086;&#1079;\_&#1055;&#1088;&#1086;&#1075;&#1085;&#1086;&#1079;\&#1055;&#1088;&#1086;&#1075;&#1085;&#1086;&#1079;%202023_&#1089;&#1086;&#1082;&#1088;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eries_y_f_TM"/>
      <sheetName val="series_y_f"/>
      <sheetName val="Компонентный"/>
      <sheetName val="Субкомпонентный"/>
      <sheetName val="Микрокомпонентный"/>
      <sheetName val="Микрокомпоненты"/>
      <sheetName val="Сравнение прогн. с недель. цен"/>
      <sheetName val="Формулы"/>
      <sheetName val="БИПЦ"/>
      <sheetName val="СПР 2022"/>
      <sheetName val="СПР"/>
      <sheetName val="ИПЦ"/>
      <sheetName val="ИПЦ ЦФО-&gt;ИПЦ"/>
      <sheetName val="ИПЦ ЦФО"/>
      <sheetName val="Статистика ИПЦ полный -&gt;ИПЦ"/>
      <sheetName val="Статистика ИПЦ полный"/>
      <sheetName val="Отчет Изменен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D1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ables/table1.xml><?xml version="1.0" encoding="utf-8"?>
<table xmlns="http://schemas.openxmlformats.org/spreadsheetml/2006/main" id="1" name="Parameters" displayName="Parameters" ref="A1:A2" headerRowCount="1" totalsRowShown="0">
  <autoFilter ref="A1:A2"/>
  <tableColumns count="1">
    <tableColumn id="1" name="Значение">
      <calculatedColumnFormula array="1">MID(CELL("filename",A1),1,SEARCH("[",CELL("filename",A1))-1)&amp;"IPC.xlsx"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1" displayName="Таблица1" ref="A1:C16" tableType="queryTable" headerRowCount="1" totalsRowShown="0">
  <autoFilter ref="A1:C16"/>
  <tableColumns count="3">
    <tableColumn id="7" uniqueName="7" name="Day" queryTableFieldId="1" dataDxfId="5"/>
    <tableColumn id="8" uniqueName="8" name="YoY" queryTableFieldId="2" dataDxfId="4"/>
    <tableColumn id="9" uniqueName="9" name="MoM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Таблица1__2" displayName="Таблица1__2" ref="I1:L185" tableType="queryTable" headerRowCount="1">
  <autoFilter ref="I1:L185"/>
  <tableColumns count="4">
    <tableColumn id="10" uniqueName="10" name="Day" queryTableFieldId="1" dataDxfId="2" totalsRowDxfId="1"/>
    <tableColumn id="11" uniqueName="11" name="YoY" queryTableFieldId="2"/>
    <tableColumn id="12" uniqueName="12" name="MoM" queryTableFieldId="3"/>
    <tableColumn id="13" uniqueName="13" name="Столбец1" totalsRowFunction="custom" queryTableFieldId="4" totalsRowDxfId="0">
      <totalsRowFormula>AVERAGE(K182:K184)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M93"/>
  <sheetViews>
    <sheetView tabSelected="1" zoomScaleNormal="100" workbookViewId="0">
      <pane ySplit="2" topLeftCell="A41" activePane="bottomLeft" state="frozen"/>
      <selection pane="bottomLeft" activeCell="E56" sqref="E56"/>
    </sheetView>
  </sheetViews>
  <sheetFormatPr baseColWidth="8" defaultRowHeight="14.4"/>
  <cols>
    <col width="10.8984375" bestFit="1" customWidth="1" style="3" min="1" max="1"/>
    <col width="6.3984375" bestFit="1" customWidth="1" style="14" min="2" max="2"/>
    <col width="5.09765625" bestFit="1" customWidth="1" style="14" min="3" max="3"/>
    <col width="15.296875" bestFit="1" customWidth="1" style="14" min="4" max="4"/>
    <col width="11.09765625" bestFit="1" customWidth="1" style="7" min="5" max="6"/>
    <col width="9.8984375" bestFit="1" customWidth="1" style="14" min="7" max="8"/>
    <col width="6.69921875" bestFit="1" customWidth="1" style="14" min="9" max="9"/>
    <col width="8.3984375" customWidth="1" style="2" min="10" max="12"/>
    <col width="12" bestFit="1" customWidth="1" style="2" min="13" max="13"/>
  </cols>
  <sheetData>
    <row r="1">
      <c r="E1" s="38" t="n">
        <v>46181</v>
      </c>
      <c r="F1" s="38" t="n">
        <v>46181</v>
      </c>
      <c r="G1" s="124" t="n">
        <v>46163</v>
      </c>
      <c r="H1" s="124" t="n">
        <v>46163</v>
      </c>
    </row>
    <row r="2" ht="21.9" customHeight="1">
      <c r="A2" s="44" t="inlineStr">
        <is>
          <t>Дата</t>
        </is>
      </c>
      <c r="B2" s="45" t="n">
        <v>-0.5</v>
      </c>
      <c r="C2" s="45" t="n"/>
      <c r="D2" s="45" t="n"/>
      <c r="E2" s="44" t="inlineStr">
        <is>
          <t>MoM</t>
        </is>
      </c>
      <c r="F2" s="44" t="inlineStr">
        <is>
          <t>YoY</t>
        </is>
      </c>
      <c r="G2" s="45" t="inlineStr">
        <is>
          <t>MoM</t>
        </is>
      </c>
      <c r="H2" s="45" t="inlineStr">
        <is>
          <t>YoY</t>
        </is>
      </c>
      <c r="I2" s="10" t="inlineStr">
        <is>
          <t>3mmasaar</t>
        </is>
      </c>
      <c r="J2" s="6" t="n"/>
      <c r="K2" s="6" t="n"/>
      <c r="L2" s="6" t="n"/>
      <c r="M2" s="6" t="n"/>
    </row>
    <row r="3">
      <c r="A3" s="46" t="n">
        <v>44562</v>
      </c>
      <c r="B3" s="47" t="n"/>
      <c r="C3" s="47" t="n"/>
      <c r="D3" s="47" t="n"/>
      <c r="E3" s="109" t="n">
        <v>101.22</v>
      </c>
      <c r="F3" s="109" t="n">
        <v>108.84</v>
      </c>
      <c r="G3" s="47" t="n"/>
      <c r="H3" s="47" t="n"/>
      <c r="I3" s="5" t="n"/>
      <c r="J3" s="15" t="n"/>
      <c r="K3" s="15" t="n"/>
      <c r="L3" s="15" t="n"/>
      <c r="M3" s="15" t="n"/>
    </row>
    <row r="4">
      <c r="A4" s="49" t="n">
        <v>44593</v>
      </c>
      <c r="B4" s="47" t="n"/>
      <c r="C4" s="47" t="n"/>
      <c r="D4" s="47" t="n"/>
      <c r="E4" s="109" t="n">
        <v>100.94</v>
      </c>
      <c r="F4" s="109" t="n">
        <v>108.73</v>
      </c>
      <c r="G4" s="47" t="n"/>
      <c r="H4" s="47" t="n"/>
      <c r="I4" s="5" t="n"/>
      <c r="J4" s="15" t="n"/>
      <c r="K4" s="15" t="n"/>
      <c r="L4" s="15" t="n"/>
      <c r="M4" s="15" t="n"/>
    </row>
    <row r="5">
      <c r="A5" s="46" t="n">
        <v>44621</v>
      </c>
      <c r="B5" s="47" t="n"/>
      <c r="C5" s="47" t="n"/>
      <c r="D5" s="47" t="n"/>
      <c r="E5" s="109" t="n">
        <v>105.55</v>
      </c>
      <c r="F5" s="109" t="n">
        <v>113.29</v>
      </c>
      <c r="G5" s="47" t="n"/>
      <c r="H5" s="47" t="n"/>
      <c r="I5" s="5">
        <f>AVERAGE($E3:$E5)^12/100^11-100</f>
        <v/>
      </c>
      <c r="J5" s="15" t="n"/>
      <c r="K5" s="15" t="n"/>
      <c r="L5" s="15" t="n"/>
      <c r="M5" s="15" t="n"/>
    </row>
    <row r="6">
      <c r="A6" s="49" t="n">
        <v>44652</v>
      </c>
      <c r="B6" s="47" t="n"/>
      <c r="C6" s="47" t="n"/>
      <c r="D6" s="47" t="n"/>
      <c r="E6" s="109" t="n">
        <v>103.28</v>
      </c>
      <c r="F6" s="109" t="n">
        <v>116</v>
      </c>
      <c r="G6" s="47" t="n"/>
      <c r="H6" s="47" t="n"/>
      <c r="I6" s="5">
        <f>AVERAGE($E4:$E6)^12/100^11-100</f>
        <v/>
      </c>
      <c r="J6" s="15" t="n"/>
      <c r="K6" s="15" t="n"/>
      <c r="L6" s="15" t="n"/>
      <c r="M6" s="15" t="n"/>
    </row>
    <row r="7">
      <c r="A7" s="46" t="n">
        <v>44682</v>
      </c>
      <c r="B7" s="47" t="n"/>
      <c r="C7" s="47" t="n"/>
      <c r="D7" s="47" t="n"/>
      <c r="E7" s="109" t="n">
        <v>100.68</v>
      </c>
      <c r="F7" s="109" t="n">
        <v>116.31</v>
      </c>
      <c r="G7" s="47" t="n"/>
      <c r="H7" s="47" t="n"/>
      <c r="I7" s="5">
        <f>AVERAGE($E5:$E7)^12/100^11-100</f>
        <v/>
      </c>
      <c r="J7" s="7" t="n"/>
      <c r="K7" s="7" t="n"/>
      <c r="L7" s="7" t="n"/>
      <c r="M7" s="7" t="n"/>
    </row>
    <row r="8">
      <c r="A8" s="49" t="n">
        <v>44713</v>
      </c>
      <c r="B8" s="50" t="n"/>
      <c r="C8" s="50" t="n"/>
      <c r="D8" s="50" t="n"/>
      <c r="E8" s="110" t="n">
        <v>99.31999999999999</v>
      </c>
      <c r="F8" s="110" t="n">
        <v>114.88</v>
      </c>
      <c r="G8" s="50" t="n"/>
      <c r="H8" s="50" t="n"/>
      <c r="I8" s="5">
        <f>AVERAGE($E6:$E8)^12/100^11-100</f>
        <v/>
      </c>
      <c r="J8" s="7" t="n"/>
      <c r="K8" s="7" t="n"/>
      <c r="L8" s="7" t="n"/>
      <c r="M8" s="7" t="n"/>
    </row>
    <row r="9">
      <c r="A9" s="46" t="n">
        <v>44743</v>
      </c>
      <c r="B9" s="50" t="n"/>
      <c r="C9" s="50" t="n"/>
      <c r="D9" s="50" t="n"/>
      <c r="E9" s="110" t="n">
        <v>99.23</v>
      </c>
      <c r="F9" s="110" t="n">
        <v>113.75</v>
      </c>
      <c r="G9" s="50" t="n"/>
      <c r="H9" s="50" t="n"/>
      <c r="I9" s="5">
        <f>AVERAGE($E7:$E9)^12/100^11-100</f>
        <v/>
      </c>
      <c r="J9" s="7" t="n"/>
      <c r="K9" s="7" t="n"/>
      <c r="L9" s="7" t="n"/>
      <c r="M9" s="7" t="n"/>
    </row>
    <row r="10">
      <c r="A10" s="49" t="n">
        <v>44774</v>
      </c>
      <c r="B10" s="50" t="n"/>
      <c r="C10" s="50" t="n"/>
      <c r="D10" s="50" t="n"/>
      <c r="E10" s="110" t="n">
        <v>99.43000000000001</v>
      </c>
      <c r="F10" s="110" t="n">
        <v>112.92</v>
      </c>
      <c r="G10" s="50" t="n"/>
      <c r="H10" s="50" t="n"/>
      <c r="I10" s="5">
        <f>AVERAGE($E8:$E10)^12/100^11-100</f>
        <v/>
      </c>
      <c r="J10" s="7" t="n"/>
      <c r="K10" s="7" t="n"/>
      <c r="L10" s="7" t="n"/>
      <c r="M10" s="7" t="n"/>
    </row>
    <row r="11">
      <c r="A11" s="46" t="n">
        <v>44805</v>
      </c>
      <c r="B11" s="50" t="n"/>
      <c r="C11" s="50" t="n"/>
      <c r="D11" s="50" t="n"/>
      <c r="E11" s="110" t="n">
        <v>100.33</v>
      </c>
      <c r="F11" s="110" t="n">
        <v>112.46</v>
      </c>
      <c r="G11" s="50" t="n"/>
      <c r="H11" s="50" t="n"/>
      <c r="I11" s="5">
        <f>AVERAGE($E9:$E11)^12/100^11-100</f>
        <v/>
      </c>
      <c r="J11" s="7" t="n"/>
      <c r="K11" s="7" t="n"/>
      <c r="L11" s="7" t="n"/>
      <c r="M11" s="7" t="n"/>
    </row>
    <row r="12">
      <c r="A12" s="49" t="n">
        <v>44835</v>
      </c>
      <c r="B12" s="50" t="n"/>
      <c r="C12" s="50" t="n"/>
      <c r="D12" s="50" t="n"/>
      <c r="E12" s="110" t="n">
        <v>100.66</v>
      </c>
      <c r="F12" s="110" t="n">
        <v>112.17</v>
      </c>
      <c r="G12" s="50" t="n"/>
      <c r="H12" s="50" t="n"/>
      <c r="I12" s="5">
        <f>AVERAGE($E10:$E12)^12/100^11-100</f>
        <v/>
      </c>
      <c r="J12" s="7" t="n"/>
      <c r="K12" s="7" t="n"/>
      <c r="L12" s="7" t="n"/>
      <c r="M12" s="7" t="n"/>
    </row>
    <row r="13">
      <c r="A13" s="46" t="n">
        <v>44866</v>
      </c>
      <c r="B13" s="50" t="n"/>
      <c r="C13" s="50" t="n"/>
      <c r="D13" s="50" t="n"/>
      <c r="E13" s="110" t="n">
        <v>100.26</v>
      </c>
      <c r="F13" s="110" t="n">
        <v>111.51</v>
      </c>
      <c r="G13" s="50" t="n"/>
      <c r="H13" s="50" t="n"/>
      <c r="I13" s="5">
        <f>AVERAGE($E11:$E13)^12/100^11-100</f>
        <v/>
      </c>
      <c r="J13" s="7" t="n"/>
      <c r="K13" s="7" t="n"/>
      <c r="L13" s="7" t="n"/>
      <c r="M13" s="7" t="n"/>
    </row>
    <row r="14">
      <c r="A14" s="49" t="n">
        <v>44896</v>
      </c>
      <c r="B14" s="50" t="n"/>
      <c r="C14" s="50" t="n"/>
      <c r="D14" s="50" t="n"/>
      <c r="E14" s="110" t="n">
        <v>100.57</v>
      </c>
      <c r="F14" s="110" t="n">
        <v>111.9</v>
      </c>
      <c r="G14" s="50" t="n"/>
      <c r="H14" s="50" t="n"/>
      <c r="I14" s="5">
        <f>AVERAGE($E12:$E14)^12/100^11-100</f>
        <v/>
      </c>
      <c r="J14" s="7" t="n"/>
      <c r="K14" s="7" t="n"/>
      <c r="L14" s="7" t="n"/>
      <c r="M14" s="7" t="n"/>
    </row>
    <row r="15">
      <c r="A15" s="46" t="n">
        <v>44927</v>
      </c>
      <c r="B15" s="50" t="n"/>
      <c r="C15" s="50" t="n"/>
      <c r="D15" s="50" t="n"/>
      <c r="E15" s="110" t="n">
        <v>101.13</v>
      </c>
      <c r="F15" s="110" t="n">
        <v>111.8</v>
      </c>
      <c r="G15" s="50" t="n"/>
      <c r="H15" s="50" t="n"/>
      <c r="I15" s="5">
        <f>AVERAGE($E13:$E15)^12/100^11-100</f>
        <v/>
      </c>
      <c r="J15" s="7" t="n"/>
      <c r="K15" s="7" t="n"/>
      <c r="L15" s="7" t="n"/>
      <c r="M15" s="7" t="n"/>
    </row>
    <row r="16">
      <c r="A16" s="49" t="n">
        <v>44958</v>
      </c>
      <c r="B16" s="52" t="n"/>
      <c r="C16" s="52" t="n"/>
      <c r="D16" s="52" t="n"/>
      <c r="E16" s="111" t="n">
        <v>100.75</v>
      </c>
      <c r="F16" s="111" t="n">
        <v>111.59</v>
      </c>
      <c r="G16" s="52" t="n"/>
      <c r="H16" s="52" t="n"/>
      <c r="I16" s="5">
        <f>AVERAGE($E14:$E16)^12/100^11-100</f>
        <v/>
      </c>
      <c r="J16" s="7" t="n"/>
      <c r="K16" s="7" t="n"/>
      <c r="L16" s="7" t="n"/>
      <c r="M16" s="7" t="n"/>
    </row>
    <row r="17">
      <c r="A17" s="46" t="n">
        <v>44986</v>
      </c>
      <c r="B17" s="52" t="n"/>
      <c r="C17" s="52" t="n"/>
      <c r="D17" s="52" t="n"/>
      <c r="E17" s="112" t="n">
        <v>100.39</v>
      </c>
      <c r="F17" s="111" t="n">
        <v>106.14</v>
      </c>
      <c r="G17" s="52" t="n"/>
      <c r="H17" s="52" t="n"/>
      <c r="I17" s="5">
        <f>AVERAGE($E15:$E17)^12/100^11-100</f>
        <v/>
      </c>
      <c r="J17" s="7" t="n"/>
      <c r="K17" s="7" t="n"/>
      <c r="L17" s="7" t="n"/>
      <c r="M17" s="7" t="n"/>
    </row>
    <row r="18">
      <c r="A18" s="49" t="n">
        <v>45017</v>
      </c>
      <c r="B18" s="52" t="n"/>
      <c r="C18" s="52" t="n"/>
      <c r="D18" s="52" t="n"/>
      <c r="E18" s="113" t="n">
        <v>100.72</v>
      </c>
      <c r="F18" s="111" t="n">
        <v>103.51</v>
      </c>
      <c r="G18" s="52" t="n"/>
      <c r="H18" s="52" t="n"/>
      <c r="I18" s="5">
        <f>AVERAGE($E16:$E18)^12/100^11-100</f>
        <v/>
      </c>
      <c r="J18" s="7" t="n"/>
      <c r="K18" s="7" t="n"/>
      <c r="L18" s="7" t="n"/>
      <c r="M18" s="7" t="n"/>
    </row>
    <row r="19">
      <c r="A19" s="46" t="n">
        <v>45047</v>
      </c>
      <c r="B19" s="52" t="n"/>
      <c r="C19" s="52" t="n"/>
      <c r="D19" s="52" t="n"/>
      <c r="E19" s="113" t="n">
        <v>99.75</v>
      </c>
      <c r="F19" s="111" t="n">
        <v>102.55</v>
      </c>
      <c r="G19" s="52" t="n"/>
      <c r="H19" s="52" t="n"/>
      <c r="I19" s="5">
        <f>AVERAGE($E17:$E19)^12/100^11-100</f>
        <v/>
      </c>
      <c r="J19" s="4" t="n"/>
      <c r="K19" s="4" t="n"/>
      <c r="L19" s="4" t="n"/>
      <c r="M19" s="4" t="n"/>
    </row>
    <row r="20">
      <c r="A20" s="49" t="n">
        <v>45078</v>
      </c>
      <c r="B20" s="52" t="n"/>
      <c r="C20" s="52" t="n"/>
      <c r="D20" s="52" t="n"/>
      <c r="E20" s="113" t="n">
        <v>100.43</v>
      </c>
      <c r="F20" s="111" t="n">
        <v>103.69</v>
      </c>
      <c r="G20" s="52" t="n"/>
      <c r="H20" s="52" t="n"/>
      <c r="I20" s="5">
        <f>AVERAGE($E18:$E20)^12/100^11-100</f>
        <v/>
      </c>
      <c r="J20" s="7" t="n"/>
      <c r="K20" s="7" t="n"/>
      <c r="L20" s="7" t="n"/>
      <c r="M20" s="7" t="n"/>
    </row>
    <row r="21">
      <c r="A21" s="46" t="n">
        <v>45108</v>
      </c>
      <c r="B21" s="52" t="n"/>
      <c r="C21" s="52" t="n"/>
      <c r="D21" s="52" t="n"/>
      <c r="E21" s="113" t="n">
        <v>100.5</v>
      </c>
      <c r="F21" s="111" t="n">
        <v>105.03</v>
      </c>
      <c r="G21" s="52" t="n"/>
      <c r="H21" s="52" t="n"/>
      <c r="I21" s="5">
        <f>AVERAGE($E19:$E21)^12/100^11-100</f>
        <v/>
      </c>
      <c r="J21" s="7" t="n"/>
      <c r="K21" s="7" t="n"/>
      <c r="L21" s="7" t="n"/>
      <c r="M21" s="7" t="n"/>
    </row>
    <row r="22">
      <c r="A22" s="49" t="n">
        <v>45139</v>
      </c>
      <c r="B22" s="52" t="n"/>
      <c r="C22" s="52" t="n"/>
      <c r="D22" s="52" t="n"/>
      <c r="E22" s="113" t="n">
        <v>99.93000000000001</v>
      </c>
      <c r="F22" s="111" t="n">
        <v>105.56</v>
      </c>
      <c r="G22" s="53" t="n"/>
      <c r="H22" s="53" t="n"/>
      <c r="I22" s="5">
        <f>AVERAGE($E20:$E22)^12/100^11-100</f>
        <v/>
      </c>
      <c r="J22" s="8" t="n"/>
      <c r="K22" s="8" t="n"/>
      <c r="L22" s="8" t="n"/>
      <c r="M22" s="8" t="n"/>
    </row>
    <row r="23">
      <c r="A23" s="46" t="n">
        <v>45170</v>
      </c>
      <c r="B23" s="56" t="n"/>
      <c r="C23" s="56" t="n"/>
      <c r="D23" s="56" t="n"/>
      <c r="E23" s="113" t="n">
        <v>101.75</v>
      </c>
      <c r="F23" s="111" t="n">
        <v>107.05</v>
      </c>
      <c r="G23" s="53" t="n"/>
      <c r="H23" s="53" t="n"/>
      <c r="I23" s="5">
        <f>AVERAGE($E21:$E23)^12/100^11-100</f>
        <v/>
      </c>
      <c r="J23" s="8" t="n"/>
      <c r="K23" s="8" t="n"/>
      <c r="L23" s="8" t="n"/>
      <c r="M23" s="8" t="n"/>
    </row>
    <row r="24">
      <c r="A24" s="49" t="n">
        <v>45200</v>
      </c>
      <c r="B24" s="53">
        <f>E24-0.5</f>
        <v/>
      </c>
      <c r="C24" s="53" t="n"/>
      <c r="D24" s="53" t="n"/>
      <c r="E24" s="113" t="n">
        <v>100.46</v>
      </c>
      <c r="F24" s="111" t="n">
        <v>106.84</v>
      </c>
      <c r="G24" s="53" t="n"/>
      <c r="H24" s="53" t="n"/>
      <c r="I24" s="5">
        <f>AVERAGE($E22:$E24)^12/100^11-100</f>
        <v/>
      </c>
      <c r="J24" s="8" t="n"/>
      <c r="K24" s="8" t="n"/>
      <c r="L24" s="8" t="n"/>
      <c r="M24" s="8" t="n"/>
    </row>
    <row r="25">
      <c r="A25" s="46" t="n">
        <v>45231</v>
      </c>
      <c r="B25" s="56" t="n"/>
      <c r="C25" s="56" t="n"/>
      <c r="D25" s="56" t="n"/>
      <c r="E25" s="113" t="n">
        <v>100.74</v>
      </c>
      <c r="F25" s="111" t="n">
        <v>107.34</v>
      </c>
      <c r="G25" s="53" t="n"/>
      <c r="H25" s="56" t="n"/>
      <c r="I25" s="5">
        <f>AVERAGE($E23:$E25)^12/100^11-100</f>
        <v/>
      </c>
      <c r="J25" s="8" t="n"/>
      <c r="K25" s="8" t="n"/>
      <c r="L25" s="8" t="n"/>
      <c r="M25" s="8" t="n"/>
    </row>
    <row r="26">
      <c r="A26" s="49" t="n">
        <v>45261</v>
      </c>
      <c r="B26" s="53" t="n"/>
      <c r="C26" s="53" t="n"/>
      <c r="D26" s="53" t="n"/>
      <c r="E26" s="113" t="n">
        <v>100.29</v>
      </c>
      <c r="F26" s="111" t="n">
        <v>107.05</v>
      </c>
      <c r="G26" s="53" t="n"/>
      <c r="H26" s="53" t="n"/>
      <c r="I26" s="5">
        <f>AVERAGE($E24:$E26)^12/100^11-100</f>
        <v/>
      </c>
      <c r="J26" s="8" t="n"/>
      <c r="K26" s="8" t="n"/>
      <c r="L26" s="8" t="n"/>
      <c r="M26" s="8" t="n"/>
    </row>
    <row r="27" ht="15" customHeight="1">
      <c r="A27" s="46" t="n">
        <v>45292</v>
      </c>
      <c r="B27" s="53" t="n"/>
      <c r="C27" s="53" t="n"/>
      <c r="D27" s="53" t="n"/>
      <c r="E27" s="113" t="n">
        <v>100.87</v>
      </c>
      <c r="F27" s="111" t="n">
        <v>106.77</v>
      </c>
      <c r="G27" s="53" t="n"/>
      <c r="H27" s="53" t="n"/>
      <c r="I27" s="5">
        <f>AVERAGE($E25:$E27)^12/100^11-100</f>
        <v/>
      </c>
      <c r="J27" s="8" t="n"/>
      <c r="K27" s="8" t="n"/>
      <c r="L27" s="8" t="n"/>
      <c r="M27" s="8" t="n"/>
    </row>
    <row r="28">
      <c r="A28" s="49" t="n">
        <v>45323</v>
      </c>
      <c r="B28" s="53" t="n"/>
      <c r="C28" s="53" t="n"/>
      <c r="D28" s="53" t="n"/>
      <c r="E28" s="113" t="n">
        <v>100.53</v>
      </c>
      <c r="F28" s="111" t="n">
        <v>106.54</v>
      </c>
      <c r="G28" s="53" t="n"/>
      <c r="H28" s="53" t="n"/>
      <c r="I28" s="5">
        <f>AVERAGE($E26:$E28)^12/100^11-100</f>
        <v/>
      </c>
      <c r="J28" s="8" t="n"/>
      <c r="K28" s="8" t="n"/>
      <c r="L28" s="8" t="n"/>
      <c r="M28" s="8" t="n"/>
    </row>
    <row r="29">
      <c r="A29" s="46" t="n">
        <v>45352</v>
      </c>
      <c r="B29" s="53" t="n"/>
      <c r="C29" s="53" t="n"/>
      <c r="D29" s="53" t="n"/>
      <c r="E29" s="113" t="n">
        <v>100.53</v>
      </c>
      <c r="F29" s="111" t="n">
        <v>106.68</v>
      </c>
      <c r="G29" s="53" t="n"/>
      <c r="H29" s="53" t="n"/>
      <c r="I29" s="5">
        <f>AVERAGE($E27:$E29)^12/100^11-100</f>
        <v/>
      </c>
      <c r="J29" s="8" t="n"/>
      <c r="K29" s="8" t="n"/>
      <c r="L29" s="8" t="n"/>
      <c r="M29" s="8" t="n"/>
    </row>
    <row r="30">
      <c r="A30" s="49" t="n">
        <v>45383</v>
      </c>
      <c r="B30" s="53" t="n"/>
      <c r="C30" s="53" t="n"/>
      <c r="D30" s="53" t="n"/>
      <c r="E30" s="112" t="n">
        <v>100.38</v>
      </c>
      <c r="F30" s="111" t="n">
        <v>106.32</v>
      </c>
      <c r="G30" s="53" t="n"/>
      <c r="H30" s="53" t="n"/>
      <c r="I30" s="5">
        <f>AVERAGE($E28:$E30)^12/100^11-100</f>
        <v/>
      </c>
      <c r="J30" s="8" t="n"/>
      <c r="K30" s="8" t="n"/>
      <c r="L30" s="8" t="n"/>
      <c r="M30" s="8" t="n"/>
    </row>
    <row r="31">
      <c r="A31" s="46" t="n">
        <v>45413</v>
      </c>
      <c r="B31" s="53" t="n"/>
      <c r="C31" s="53" t="n"/>
      <c r="D31" s="53" t="n"/>
      <c r="E31" s="112" t="n">
        <v>100.94</v>
      </c>
      <c r="F31" s="111" t="n">
        <v>107.59</v>
      </c>
      <c r="G31" s="53" t="n"/>
      <c r="H31" s="53" t="n"/>
      <c r="I31" s="5">
        <f>AVERAGE($E29:$E31)^12/100^11-100</f>
        <v/>
      </c>
      <c r="J31" s="8" t="n"/>
      <c r="K31" s="8" t="n"/>
      <c r="L31" s="8" t="n"/>
      <c r="M31" s="8" t="n"/>
    </row>
    <row r="32">
      <c r="A32" s="49" t="n">
        <v>45444</v>
      </c>
      <c r="B32" s="53" t="n"/>
      <c r="C32" s="53" t="n"/>
      <c r="D32" s="53" t="n"/>
      <c r="E32" s="112" t="n">
        <v>100.18</v>
      </c>
      <c r="F32" s="111" t="n">
        <v>107.33</v>
      </c>
      <c r="G32" s="53" t="n"/>
      <c r="H32" s="53" t="n"/>
      <c r="I32" s="5">
        <f>AVERAGE($E30:$E32)^12/100^11-100</f>
        <v/>
      </c>
      <c r="J32" s="8" t="n"/>
      <c r="K32" s="8" t="n"/>
      <c r="L32" s="8" t="n"/>
      <c r="M32" s="8" t="n"/>
    </row>
    <row r="33">
      <c r="A33" s="46" t="n">
        <v>45474</v>
      </c>
      <c r="B33" s="53" t="n"/>
      <c r="C33" s="53" t="n"/>
      <c r="D33" s="53" t="n"/>
      <c r="E33" s="112" t="n">
        <v>101.07</v>
      </c>
      <c r="F33" s="111" t="n">
        <v>107.94</v>
      </c>
      <c r="G33" s="53" t="n"/>
      <c r="H33" s="53" t="n"/>
      <c r="I33" s="5">
        <f>AVERAGE($E31:$E33)^12/100^11-100</f>
        <v/>
      </c>
      <c r="J33" s="8" t="n"/>
      <c r="K33" s="8" t="n"/>
      <c r="L33" s="8" t="n"/>
      <c r="M33" s="8" t="n"/>
    </row>
    <row r="34">
      <c r="A34" s="49" t="n">
        <v>45505</v>
      </c>
      <c r="B34" s="53" t="n"/>
      <c r="C34" s="53" t="n"/>
      <c r="D34" s="53" t="n"/>
      <c r="E34" s="113" t="n">
        <v>100.09</v>
      </c>
      <c r="F34" s="111" t="n">
        <v>108.1</v>
      </c>
      <c r="G34" s="53" t="n"/>
      <c r="H34" s="53" t="n"/>
      <c r="I34" s="5">
        <f>AVERAGE($E32:$E34)^12/100^11-100</f>
        <v/>
      </c>
      <c r="J34" s="8" t="n"/>
      <c r="K34" s="8" t="n"/>
      <c r="L34" s="8" t="n"/>
      <c r="M34" s="8" t="n"/>
    </row>
    <row r="35" ht="14.25" customHeight="1">
      <c r="A35" s="46" t="n">
        <v>45536</v>
      </c>
      <c r="B35" s="53" t="n"/>
      <c r="C35" s="53" t="n"/>
      <c r="D35" s="53" t="n"/>
      <c r="E35" s="112" t="n">
        <v>100.62</v>
      </c>
      <c r="F35" s="111" t="n">
        <v>106.91</v>
      </c>
      <c r="G35" s="53" t="n"/>
      <c r="H35" s="53" t="n"/>
      <c r="I35" s="5">
        <f>AVERAGE($E33:$E35)^12/100^11-100</f>
        <v/>
      </c>
      <c r="J35" s="8" t="n"/>
      <c r="K35" s="8" t="n"/>
      <c r="L35" s="8" t="n"/>
      <c r="M35" s="8" t="n"/>
    </row>
    <row r="36">
      <c r="A36" s="49" t="n">
        <v>45566</v>
      </c>
      <c r="B36" s="53" t="n"/>
      <c r="C36" s="53" t="n"/>
      <c r="D36" s="53" t="n"/>
      <c r="E36" s="113" t="n">
        <v>101.02</v>
      </c>
      <c r="F36" s="111" t="n">
        <v>107.49</v>
      </c>
      <c r="G36" s="53" t="n"/>
      <c r="H36" s="53" t="n"/>
      <c r="I36" s="5">
        <f>AVERAGE($E34:$E36)^12/100^11-100</f>
        <v/>
      </c>
      <c r="J36" s="8" t="n"/>
      <c r="K36" s="8" t="n"/>
      <c r="L36" s="8" t="n"/>
      <c r="M36" s="8" t="n"/>
    </row>
    <row r="37">
      <c r="A37" s="64" t="n">
        <v>45597</v>
      </c>
      <c r="B37" s="65" t="n"/>
      <c r="C37" s="65" t="n"/>
      <c r="D37" s="65" t="n"/>
      <c r="E37" s="114" t="n">
        <v>101.5</v>
      </c>
      <c r="F37" s="115" t="n">
        <v>108.31</v>
      </c>
      <c r="G37" s="65" t="n"/>
      <c r="H37" s="65" t="n"/>
      <c r="I37" s="5">
        <f>AVERAGE($E35:$E37)^12/100^11-100</f>
        <v/>
      </c>
      <c r="J37" s="8" t="n"/>
      <c r="K37" s="8" t="n"/>
      <c r="L37" s="8" t="n"/>
      <c r="M37" s="8" t="n"/>
    </row>
    <row r="38">
      <c r="A38" s="49" t="n">
        <v>45627</v>
      </c>
      <c r="B38" s="57" t="n"/>
      <c r="C38" s="57" t="n"/>
      <c r="D38" s="57" t="n"/>
      <c r="E38" s="113" t="n">
        <v>100.91</v>
      </c>
      <c r="F38" s="111" t="n">
        <v>108.98</v>
      </c>
      <c r="G38" s="62" t="n"/>
      <c r="H38" s="57" t="n"/>
      <c r="I38" s="53">
        <f>AVERAGE($E36:$E38)^12/100^11-100</f>
        <v/>
      </c>
      <c r="J38" s="8" t="n"/>
      <c r="K38" s="8" t="n"/>
      <c r="L38" s="8" t="n"/>
      <c r="M38" s="8" t="n"/>
    </row>
    <row r="39">
      <c r="A39" s="59" t="n">
        <v>45658</v>
      </c>
      <c r="B39" s="55" t="n"/>
      <c r="C39" s="55" t="n"/>
      <c r="D39" s="55" t="n"/>
      <c r="E39" s="113" t="n">
        <v>100.84</v>
      </c>
      <c r="F39" s="113" t="n">
        <v>108.95</v>
      </c>
      <c r="G39" s="62" t="n"/>
      <c r="H39" s="62" t="n"/>
      <c r="I39" s="55">
        <f>AVERAGE($E37:$E39)^12/100^11-100</f>
        <v/>
      </c>
      <c r="J39" s="7" t="n"/>
      <c r="K39" s="7" t="n"/>
      <c r="L39" s="7" t="n"/>
      <c r="M39" s="7" t="n"/>
    </row>
    <row r="40">
      <c r="A40" s="60" t="n">
        <v>45689</v>
      </c>
      <c r="B40" s="55" t="n"/>
      <c r="C40" s="55" t="n"/>
      <c r="D40" s="55" t="n"/>
      <c r="E40" s="113" t="n">
        <v>101.34</v>
      </c>
      <c r="F40" s="113" t="n">
        <v>109.83</v>
      </c>
      <c r="G40" s="62" t="n"/>
      <c r="H40" s="62" t="n"/>
      <c r="I40" s="55">
        <f>AVERAGE($E38:$E40)^12/100^11-100</f>
        <v/>
      </c>
      <c r="J40" s="7" t="n"/>
      <c r="K40" s="7" t="n"/>
      <c r="L40" s="7" t="n"/>
      <c r="M40" s="7" t="n"/>
    </row>
    <row r="41" ht="15" customHeight="1" thickBot="1">
      <c r="A41" s="71" t="n">
        <v>45717</v>
      </c>
      <c r="B41" s="66" t="n"/>
      <c r="C41" s="66" t="n"/>
      <c r="D41" s="66" t="n"/>
      <c r="E41" s="114" t="n">
        <v>100.81</v>
      </c>
      <c r="F41" s="114" t="n">
        <v>110.13</v>
      </c>
      <c r="G41" s="72" t="n"/>
      <c r="H41" s="72" t="n"/>
      <c r="I41" s="66">
        <f>AVERAGE($E39:$E41)^12/100^11-100</f>
        <v/>
      </c>
      <c r="J41" s="7" t="n"/>
      <c r="K41" s="7" t="n"/>
      <c r="L41" s="7" t="n"/>
      <c r="M41" s="7" t="n"/>
    </row>
    <row r="42" ht="15" customHeight="1" thickBot="1">
      <c r="A42" s="78" t="n">
        <v>45748</v>
      </c>
      <c r="B42" s="79" t="n"/>
      <c r="C42" s="79" t="n"/>
      <c r="D42" s="79" t="n"/>
      <c r="E42" s="116" t="n">
        <v>100.53</v>
      </c>
      <c r="F42" s="116" t="n">
        <v>110.3</v>
      </c>
      <c r="G42" s="80" t="n"/>
      <c r="H42" s="80" t="n"/>
      <c r="I42" s="79">
        <f>AVERAGE($E40:$E42)^12/100^11-100</f>
        <v/>
      </c>
      <c r="J42" s="7" t="n"/>
      <c r="K42" s="7" t="n"/>
      <c r="L42" s="7" t="n"/>
      <c r="M42" s="7" t="n"/>
    </row>
    <row r="43">
      <c r="A43" s="74" t="n">
        <v>45778</v>
      </c>
      <c r="B43" s="75" t="n"/>
      <c r="C43" s="75" t="n"/>
      <c r="D43" s="75" t="n"/>
      <c r="E43" s="117" t="n">
        <v>99.93000000000001</v>
      </c>
      <c r="F43" s="117" t="n">
        <v>109.2</v>
      </c>
      <c r="G43" s="76" t="n"/>
      <c r="H43" s="76" t="n"/>
      <c r="I43" s="75">
        <f>AVERAGE($E41:$E43)^12/100^11-100</f>
        <v/>
      </c>
      <c r="J43" s="7" t="n"/>
      <c r="K43" s="7" t="n"/>
      <c r="L43" s="7" t="n"/>
      <c r="M43" s="7" t="n"/>
    </row>
    <row r="44">
      <c r="A44" s="60" t="n">
        <v>45809</v>
      </c>
      <c r="B44" s="55" t="n"/>
      <c r="C44" s="55" t="n"/>
      <c r="D44" s="55" t="n"/>
      <c r="E44" s="113" t="n">
        <v>99.95999999999999</v>
      </c>
      <c r="F44" s="113" t="n">
        <v>108.96</v>
      </c>
      <c r="G44" s="62" t="n"/>
      <c r="H44" s="62" t="n"/>
      <c r="I44" s="55">
        <f>AVERAGE($E42:$E44)^12/100^11-100</f>
        <v/>
      </c>
      <c r="J44" s="7" t="n"/>
      <c r="K44" s="7" t="n"/>
      <c r="L44" s="7" t="n"/>
      <c r="M44" s="7" t="n"/>
    </row>
    <row r="45">
      <c r="A45" s="59" t="n">
        <v>45839</v>
      </c>
      <c r="B45" s="55" t="n"/>
      <c r="C45" s="55" t="n"/>
      <c r="D45" s="55" t="n"/>
      <c r="E45" s="113" t="n">
        <v>100.36</v>
      </c>
      <c r="F45" s="113" t="n">
        <v>108.19</v>
      </c>
      <c r="G45" s="62" t="n"/>
      <c r="H45" s="62" t="n"/>
      <c r="I45" s="55">
        <f>AVERAGE($E43:$E45)^12/100^11-100</f>
        <v/>
      </c>
      <c r="J45" s="5" t="n"/>
      <c r="K45" s="5" t="n"/>
      <c r="L45" s="5" t="n"/>
      <c r="M45" s="5" t="n"/>
    </row>
    <row r="46">
      <c r="A46" s="60" t="n">
        <v>45870</v>
      </c>
      <c r="B46" s="55" t="n"/>
      <c r="C46" s="55" t="n"/>
      <c r="D46" s="55" t="n"/>
      <c r="E46" s="113" t="n">
        <v>99.43000000000001</v>
      </c>
      <c r="F46" s="113" t="n">
        <v>107.48</v>
      </c>
      <c r="G46" s="62" t="n"/>
      <c r="H46" s="62" t="n"/>
      <c r="I46" s="55">
        <f>AVERAGE($E44:$E46)^12/100^11-100</f>
        <v/>
      </c>
      <c r="J46" s="5" t="n"/>
      <c r="K46" s="5" t="n"/>
      <c r="L46" s="5" t="n"/>
      <c r="M46" s="5" t="n"/>
    </row>
    <row r="47">
      <c r="A47" s="59" t="n">
        <v>45901</v>
      </c>
      <c r="B47" s="55" t="n"/>
      <c r="C47" s="55" t="n"/>
      <c r="D47" s="55" t="n"/>
      <c r="E47" s="113" t="n">
        <v>101</v>
      </c>
      <c r="F47" s="113" t="n">
        <v>107.88</v>
      </c>
      <c r="G47" s="62" t="n"/>
      <c r="H47" s="62" t="n"/>
      <c r="I47" s="55">
        <f>AVERAGE($E45:$E47)^12/100^11-100</f>
        <v/>
      </c>
      <c r="J47" s="5" t="n"/>
      <c r="K47" s="5" t="n"/>
      <c r="L47" s="5" t="n"/>
      <c r="M47" s="5" t="n"/>
    </row>
    <row r="48" ht="18.45" customHeight="1">
      <c r="A48" s="60" t="n">
        <v>45931</v>
      </c>
      <c r="B48" s="55" t="n"/>
      <c r="C48" s="55" t="n"/>
      <c r="D48" s="55" t="n"/>
      <c r="E48" s="113" t="n">
        <v>100.53</v>
      </c>
      <c r="F48" s="113" t="n">
        <v>107.36</v>
      </c>
      <c r="G48" s="62" t="n"/>
      <c r="H48" s="62" t="n"/>
      <c r="I48" s="55">
        <f>AVERAGE($E46:$E48)^12/100^11-100</f>
        <v/>
      </c>
      <c r="J48" s="5" t="n"/>
      <c r="K48" s="5" t="n"/>
      <c r="L48" s="5" t="n"/>
      <c r="M48" s="5" t="n"/>
    </row>
    <row r="49" ht="15" customHeight="1" thickBot="1">
      <c r="A49" s="71" t="n">
        <v>45962</v>
      </c>
      <c r="B49" s="66" t="n"/>
      <c r="C49" s="55" t="n"/>
      <c r="D49" s="55" t="n"/>
      <c r="E49" s="114" t="n">
        <v>100.15</v>
      </c>
      <c r="F49" s="114" t="n">
        <v>105.93</v>
      </c>
      <c r="G49" s="72" t="n"/>
      <c r="H49" s="72" t="n"/>
      <c r="I49" s="66">
        <f>AVERAGE($E47:$E49)^12/100^11-100</f>
        <v/>
      </c>
      <c r="J49" s="5" t="n"/>
      <c r="K49" s="5" t="n"/>
      <c r="L49" s="5" t="n"/>
      <c r="M49" s="5" t="n"/>
    </row>
    <row r="50" ht="15" customHeight="1" thickBot="1">
      <c r="A50" s="78" t="n">
        <v>45992</v>
      </c>
      <c r="B50" s="79" t="n"/>
      <c r="C50" s="55" t="n"/>
      <c r="D50" s="55" t="n"/>
      <c r="E50" s="116" t="n">
        <v>100.29</v>
      </c>
      <c r="F50" s="116" t="n">
        <v>105.28</v>
      </c>
      <c r="G50" s="80" t="n"/>
      <c r="H50" s="80" t="n"/>
      <c r="I50" s="79">
        <f>AVERAGE($E48:$E50)^12/100^11-100</f>
        <v/>
      </c>
      <c r="J50" s="5" t="n"/>
      <c r="K50" s="5" t="n"/>
      <c r="L50" s="5" t="n"/>
      <c r="M50" s="5" t="n"/>
    </row>
    <row r="51" ht="15" customHeight="1" thickBot="1">
      <c r="A51" s="74" t="n">
        <v>46023</v>
      </c>
      <c r="B51" s="87" t="n"/>
      <c r="C51" s="55">
        <f>E51-100</f>
        <v/>
      </c>
      <c r="D51" s="55">
        <f>F51-100</f>
        <v/>
      </c>
      <c r="E51" s="75" t="n">
        <v>101.6</v>
      </c>
      <c r="F51" s="75">
        <f>ROUND(PRODUCT(E40:E51)/100^11,2)</f>
        <v/>
      </c>
      <c r="G51" s="118" t="n">
        <v>101.6</v>
      </c>
      <c r="H51" s="118" t="n">
        <v>106.07</v>
      </c>
      <c r="I51" s="79">
        <f>AVERAGE($E49:$E51)^12/100^11-100</f>
        <v/>
      </c>
    </row>
    <row r="52" ht="15" customHeight="1" thickBot="1">
      <c r="A52" s="60" t="n">
        <v>46054</v>
      </c>
      <c r="B52" s="56" t="n"/>
      <c r="C52" s="55">
        <f>E52-100</f>
        <v/>
      </c>
      <c r="D52" s="55">
        <f>F52-100</f>
        <v/>
      </c>
      <c r="E52" s="55" t="n">
        <v>101.1</v>
      </c>
      <c r="F52" s="55">
        <f>ROUND(PRODUCT(E41:E52)/100^11,2)</f>
        <v/>
      </c>
      <c r="G52" s="107" t="n">
        <v>101.1</v>
      </c>
      <c r="H52" s="107" t="n">
        <v>105.82</v>
      </c>
      <c r="I52" s="79">
        <f>AVERAGE($E50:$E52)^12/100^11-100</f>
        <v/>
      </c>
    </row>
    <row r="53" ht="15" customHeight="1" thickBot="1">
      <c r="A53" s="59" t="n">
        <v>46082</v>
      </c>
      <c r="B53" s="56" t="n"/>
      <c r="C53" s="55">
        <f>E53-100</f>
        <v/>
      </c>
      <c r="D53" s="55">
        <f>F53-100</f>
        <v/>
      </c>
      <c r="E53" s="70" t="n">
        <v>100.54</v>
      </c>
      <c r="F53" s="55">
        <f>ROUND(PRODUCT(E42:E53)/100^11,2)</f>
        <v/>
      </c>
      <c r="G53" s="107" t="n">
        <v>100.54</v>
      </c>
      <c r="H53" s="107" t="n">
        <v>105.54</v>
      </c>
      <c r="I53" s="79">
        <f>AVERAGE($E51:$E53)^12/100^11-100</f>
        <v/>
      </c>
    </row>
    <row r="54" ht="15" customHeight="1" thickBot="1">
      <c r="A54" s="60" t="n">
        <v>46113</v>
      </c>
      <c r="B54" s="56" t="n"/>
      <c r="C54" s="55">
        <f>E54-100</f>
        <v/>
      </c>
      <c r="D54" s="55">
        <f>F54-100</f>
        <v/>
      </c>
      <c r="E54" s="55" t="n">
        <v>99.72</v>
      </c>
      <c r="F54" s="55">
        <f>ROUND(PRODUCT(E43:E54)/100^11,2)</f>
        <v/>
      </c>
      <c r="G54" s="107" t="n">
        <v>99.72</v>
      </c>
      <c r="H54" s="107" t="n">
        <v>104.69</v>
      </c>
      <c r="I54" s="79">
        <f>AVERAGE($E52:$E54)^12/100^11-100</f>
        <v/>
      </c>
    </row>
    <row r="55" ht="15" customHeight="1" thickBot="1">
      <c r="A55" s="59" t="n">
        <v>46143</v>
      </c>
      <c r="B55" s="68" t="n"/>
      <c r="C55" s="55">
        <f>E55-100</f>
        <v/>
      </c>
      <c r="D55" s="55">
        <f>F55-100</f>
        <v/>
      </c>
      <c r="E55" s="55" t="n">
        <v>100.09</v>
      </c>
      <c r="F55" s="55">
        <f>ROUND(PRODUCT(E44:E55)/100^11,2)</f>
        <v/>
      </c>
      <c r="G55" s="107" t="n">
        <v>99.90000000000001</v>
      </c>
      <c r="H55" s="107" t="n">
        <v>104.66</v>
      </c>
      <c r="I55" s="79">
        <f>AVERAGE($E53:$E55)^12/100^11-100</f>
        <v/>
      </c>
      <c r="J55" s="42" t="n"/>
      <c r="K55" s="42" t="n"/>
      <c r="L55" s="42" t="n"/>
      <c r="M55" s="42" t="n"/>
    </row>
    <row r="56" ht="15" customHeight="1" thickBot="1">
      <c r="A56" s="60" t="n">
        <v>46174</v>
      </c>
      <c r="B56" s="56" t="n"/>
      <c r="C56" s="55">
        <f>E56-100</f>
        <v/>
      </c>
      <c r="D56" s="55">
        <f>F56-100</f>
        <v/>
      </c>
      <c r="E56" s="55" t="n">
        <v>101.06</v>
      </c>
      <c r="F56" s="55">
        <f>ROUND(PRODUCT(E45:E56)/100^11,2)</f>
        <v/>
      </c>
      <c r="G56" s="107" t="n">
        <v>100</v>
      </c>
      <c r="H56" s="107" t="n">
        <v>104.7</v>
      </c>
      <c r="I56" s="79">
        <f>AVERAGE($E54:$E56)^12/100^11-100</f>
        <v/>
      </c>
    </row>
    <row r="57" ht="15" customHeight="1" thickBot="1">
      <c r="A57" s="59" t="n">
        <v>46204</v>
      </c>
      <c r="B57" s="69" t="n"/>
      <c r="C57" s="55">
        <f>E57-100</f>
        <v/>
      </c>
      <c r="D57" s="55">
        <f>F57-100</f>
        <v/>
      </c>
      <c r="E57" s="55" t="n">
        <v>101.4</v>
      </c>
      <c r="F57" s="55">
        <f>ROUND(PRODUCT(E46:E57)/100^11,2)</f>
        <v/>
      </c>
      <c r="G57" s="107" t="n">
        <v>99.90000000000001</v>
      </c>
      <c r="H57" s="107" t="n">
        <v>104.22</v>
      </c>
      <c r="I57" s="79">
        <f>AVERAGE($E55:$E57)^12/100^11-100</f>
        <v/>
      </c>
    </row>
    <row r="58" ht="15" customHeight="1" thickBot="1">
      <c r="A58" s="60" t="n">
        <v>46235</v>
      </c>
      <c r="B58" s="69" t="n"/>
      <c r="C58" s="69" t="n"/>
      <c r="D58" s="69" t="n"/>
      <c r="E58" s="70" t="n">
        <v>100.5</v>
      </c>
      <c r="F58" s="55">
        <f>ROUND(PRODUCT(E47:E58)/100^11,2)</f>
        <v/>
      </c>
      <c r="G58" s="107" t="n">
        <v>99.84999999999999</v>
      </c>
      <c r="H58" s="107" t="n">
        <v>104.66</v>
      </c>
      <c r="I58" s="79">
        <f>AVERAGE($E56:$E58)^12/100^11-100</f>
        <v/>
      </c>
    </row>
    <row r="59" ht="15" customHeight="1" thickBot="1">
      <c r="A59" s="59" t="n">
        <v>46266</v>
      </c>
      <c r="B59" s="69" t="n"/>
      <c r="C59" s="69" t="n"/>
      <c r="D59" s="69" t="n"/>
      <c r="E59" s="70" t="n">
        <v>100.65</v>
      </c>
      <c r="F59" s="55">
        <f>ROUND(PRODUCT(E48:E59)/100^11,2)</f>
        <v/>
      </c>
      <c r="G59" s="107" t="n">
        <v>100.45</v>
      </c>
      <c r="H59" s="107" t="n">
        <v>104.09</v>
      </c>
      <c r="I59" s="79">
        <f>AVERAGE($E57:$E59)^12/100^11-100</f>
        <v/>
      </c>
    </row>
    <row r="60" ht="15" customHeight="1" thickBot="1">
      <c r="A60" s="60" t="n">
        <v>46296</v>
      </c>
      <c r="B60" s="56" t="n"/>
      <c r="C60" s="56" t="n"/>
      <c r="D60" s="56" t="n"/>
      <c r="E60" s="70" t="n">
        <v>101.3</v>
      </c>
      <c r="F60" s="55">
        <f>ROUND(PRODUCT(E49:E60)/100^11,2)</f>
        <v/>
      </c>
      <c r="G60" s="107" t="n">
        <v>101.3</v>
      </c>
      <c r="H60" s="107" t="n">
        <v>104.88</v>
      </c>
      <c r="I60" s="79">
        <f>AVERAGE($E58:$E60)^12/100^11-100</f>
        <v/>
      </c>
    </row>
    <row r="61" ht="15" customHeight="1" thickBot="1">
      <c r="A61" s="59" t="n">
        <v>46327</v>
      </c>
      <c r="B61" s="56" t="n"/>
      <c r="C61" s="56" t="n"/>
      <c r="D61" s="56" t="n"/>
      <c r="E61" s="70" t="n">
        <v>100.45</v>
      </c>
      <c r="F61" s="55">
        <f>ROUND(PRODUCT(E50:E61)/100^11,2)</f>
        <v/>
      </c>
      <c r="G61" s="107" t="n">
        <v>100.3</v>
      </c>
      <c r="H61" s="107" t="n">
        <v>105.04</v>
      </c>
      <c r="I61" s="79">
        <f>AVERAGE($E59:$E61)^12/100^11-100</f>
        <v/>
      </c>
    </row>
    <row r="62" ht="15" customHeight="1" thickBot="1">
      <c r="A62" s="60" t="n">
        <v>46357</v>
      </c>
      <c r="B62" s="56" t="n"/>
      <c r="C62" s="56" t="n"/>
      <c r="D62" s="56" t="n"/>
      <c r="E62" s="70" t="n">
        <v>100.5</v>
      </c>
      <c r="F62" s="55">
        <f>ROUND(PRODUCT(E51:E62)/100^11,2)</f>
        <v/>
      </c>
      <c r="G62" s="107" t="n">
        <v>100.35</v>
      </c>
      <c r="H62" s="107" t="n">
        <v>105.1</v>
      </c>
      <c r="I62" s="79">
        <f>AVERAGE($E60:$E62)^12/100^11-100</f>
        <v/>
      </c>
    </row>
    <row r="63">
      <c r="A63" s="59" t="n">
        <v>46388</v>
      </c>
      <c r="E63" s="8" t="n">
        <v>100.9</v>
      </c>
      <c r="F63" s="55">
        <f>ROUND(PRODUCT(E52:E63)/100^11,2)</f>
        <v/>
      </c>
      <c r="G63" s="31" t="n">
        <v>100.95</v>
      </c>
      <c r="H63" s="31" t="n">
        <v>104.43</v>
      </c>
      <c r="I63" s="8" t="n"/>
    </row>
    <row r="64">
      <c r="A64" s="60" t="n">
        <v>46419</v>
      </c>
      <c r="E64" s="8" t="n">
        <v>100.65</v>
      </c>
      <c r="F64" s="55">
        <f>ROUND(PRODUCT(E53:E64)/100^11,2)</f>
        <v/>
      </c>
      <c r="G64" s="31" t="n">
        <v>100.65</v>
      </c>
      <c r="H64" s="31" t="n">
        <v>103.97</v>
      </c>
      <c r="I64" s="8" t="n"/>
    </row>
    <row r="65">
      <c r="A65" s="59" t="n">
        <v>46447</v>
      </c>
      <c r="E65" s="8" t="n">
        <v>100.5</v>
      </c>
      <c r="F65" s="55">
        <f>ROUND(PRODUCT(E54:E65)/100^11,2)</f>
        <v/>
      </c>
      <c r="G65" s="31" t="n">
        <v>100.5</v>
      </c>
      <c r="H65" s="31" t="n">
        <v>103.93</v>
      </c>
      <c r="I65" s="8" t="n"/>
    </row>
    <row r="66">
      <c r="A66" s="60" t="n">
        <v>46478</v>
      </c>
      <c r="E66" s="8" t="n">
        <v>100.45</v>
      </c>
      <c r="F66" s="55">
        <f>ROUND(PRODUCT(E55:E66)/100^11,2)</f>
        <v/>
      </c>
      <c r="G66" s="31" t="n">
        <v>100.45</v>
      </c>
      <c r="H66" s="31" t="n">
        <v>104.69</v>
      </c>
      <c r="I66" s="8" t="n"/>
    </row>
    <row r="67">
      <c r="A67" s="59" t="n">
        <v>46508</v>
      </c>
      <c r="E67" s="8" t="n">
        <v>100.2</v>
      </c>
      <c r="F67" s="55">
        <f>ROUND(PRODUCT(E56:E67)/100^11,2)</f>
        <v/>
      </c>
      <c r="G67" s="31" t="n">
        <v>100.2</v>
      </c>
      <c r="H67" s="31" t="n">
        <v>105</v>
      </c>
      <c r="I67" s="8" t="n"/>
    </row>
    <row r="68">
      <c r="A68" s="60" t="n">
        <v>46539</v>
      </c>
      <c r="E68" s="8" t="n">
        <v>100.15</v>
      </c>
      <c r="F68" s="55">
        <f>ROUND(PRODUCT(E57:E68)/100^11,2)</f>
        <v/>
      </c>
      <c r="G68" s="31" t="n">
        <v>100.1</v>
      </c>
      <c r="H68" s="31" t="n">
        <v>105.11</v>
      </c>
      <c r="I68" s="8" t="n"/>
    </row>
    <row r="69">
      <c r="A69" s="59" t="n">
        <v>46569</v>
      </c>
      <c r="E69" s="8" t="n">
        <v>100.05</v>
      </c>
      <c r="F69" s="55">
        <f>ROUND(PRODUCT(E58:E69)/100^11,2)</f>
        <v/>
      </c>
      <c r="G69" s="31" t="n">
        <v>100.05</v>
      </c>
      <c r="H69" s="31" t="n">
        <v>105.26</v>
      </c>
      <c r="I69" s="8" t="n"/>
    </row>
    <row r="70">
      <c r="A70" s="60" t="n">
        <v>46600</v>
      </c>
      <c r="E70" s="8" t="n">
        <v>99.95</v>
      </c>
      <c r="F70" s="55">
        <f>ROUND(PRODUCT(E59:E70)/100^11,2)</f>
        <v/>
      </c>
      <c r="G70" s="31" t="n">
        <v>99.95</v>
      </c>
      <c r="H70" s="31" t="n">
        <v>105.37</v>
      </c>
      <c r="I70" s="8" t="n"/>
    </row>
    <row r="71">
      <c r="A71" s="59" t="n">
        <v>46631</v>
      </c>
      <c r="E71" s="8" t="n">
        <v>100.45</v>
      </c>
      <c r="F71" s="55">
        <f>ROUND(PRODUCT(E60:E71)/100^11,2)</f>
        <v/>
      </c>
      <c r="G71" s="31" t="n">
        <v>100.45</v>
      </c>
      <c r="H71" s="31" t="n">
        <v>105.37</v>
      </c>
      <c r="I71" s="8" t="n"/>
    </row>
    <row r="72">
      <c r="A72" s="60" t="n">
        <v>46661</v>
      </c>
      <c r="E72" s="8" t="n">
        <v>100.45</v>
      </c>
      <c r="F72" s="55">
        <f>ROUND(PRODUCT(E61:E72)/100^11,2)</f>
        <v/>
      </c>
      <c r="G72" s="31" t="n">
        <v>100.45</v>
      </c>
      <c r="H72" s="31" t="n">
        <v>104.49</v>
      </c>
      <c r="I72" s="8" t="n"/>
    </row>
    <row r="73">
      <c r="A73" s="59" t="n">
        <v>46692</v>
      </c>
      <c r="E73" s="8" t="n">
        <v>100.2</v>
      </c>
      <c r="F73" s="55">
        <f>ROUND(PRODUCT(E62:E73)/100^11,2)</f>
        <v/>
      </c>
      <c r="G73" s="31" t="n">
        <v>100.2</v>
      </c>
      <c r="H73" s="31" t="n">
        <v>104.38</v>
      </c>
      <c r="I73" s="8" t="n"/>
    </row>
    <row r="74">
      <c r="A74" s="60" t="n">
        <v>46722</v>
      </c>
      <c r="E74" s="8" t="n">
        <v>100</v>
      </c>
      <c r="F74" s="55">
        <f>ROUND(PRODUCT(E63:E74)/100^11,2)</f>
        <v/>
      </c>
      <c r="G74" s="31" t="n">
        <v>100</v>
      </c>
      <c r="H74" s="31" t="n">
        <v>104.02</v>
      </c>
      <c r="I74" s="8" t="n"/>
    </row>
    <row r="75">
      <c r="A75" s="40" t="n"/>
      <c r="E75" s="22" t="n"/>
      <c r="F75" s="8" t="n"/>
      <c r="G75" s="31" t="n"/>
      <c r="H75" s="31" t="n"/>
      <c r="I75" s="8" t="n"/>
    </row>
    <row r="76">
      <c r="A76" s="40" t="n"/>
      <c r="E76" s="22" t="n"/>
      <c r="F76" s="8" t="n"/>
      <c r="G76" s="31" t="n"/>
      <c r="H76" s="31" t="n"/>
      <c r="I76" s="8" t="n"/>
    </row>
    <row r="77">
      <c r="A77" s="40" t="n"/>
      <c r="E77" s="22" t="n"/>
      <c r="F77" s="8" t="n"/>
      <c r="G77" s="31" t="n"/>
      <c r="H77" s="31" t="n"/>
      <c r="I77" s="8" t="n"/>
    </row>
    <row r="78">
      <c r="A78" s="40" t="n"/>
      <c r="E78" s="22" t="n"/>
      <c r="F78" s="8" t="n"/>
      <c r="G78" s="31" t="n"/>
      <c r="H78" s="31" t="n"/>
      <c r="I78" s="8" t="n"/>
    </row>
    <row r="79">
      <c r="A79" s="40" t="n"/>
      <c r="E79" s="22" t="n"/>
      <c r="F79" s="8" t="n"/>
      <c r="G79" s="31" t="n"/>
      <c r="H79" s="31" t="n"/>
      <c r="I79" s="8" t="n"/>
    </row>
    <row r="80"/>
    <row r="81">
      <c r="G81" s="5" t="n"/>
      <c r="H81" s="5" t="n"/>
    </row>
    <row r="82">
      <c r="G82" s="5" t="n"/>
      <c r="H82" s="5" t="n"/>
    </row>
    <row r="83"/>
    <row r="84"/>
    <row r="85"/>
    <row r="86"/>
    <row r="87"/>
    <row r="88"/>
    <row r="89"/>
    <row r="90"/>
    <row r="91"/>
    <row r="92"/>
    <row r="93"/>
  </sheetData>
  <conditionalFormatting sqref="J23:M24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100"/>
  <sheetViews>
    <sheetView zoomScale="115" zoomScaleNormal="115" workbookViewId="0">
      <pane ySplit="2" topLeftCell="A38" activePane="bottomLeft" state="frozen"/>
      <selection pane="bottomLeft" activeCell="E46" sqref="E46"/>
    </sheetView>
  </sheetViews>
  <sheetFormatPr baseColWidth="8" defaultRowHeight="14.4"/>
  <cols>
    <col width="14.09765625" bestFit="1" customWidth="1" style="3" min="1" max="1"/>
    <col hidden="1" width="11" customWidth="1" style="14" min="2" max="2"/>
    <col width="11" customWidth="1" style="14" min="3" max="4"/>
    <col width="11.09765625" bestFit="1" customWidth="1" style="7" min="5" max="6"/>
    <col hidden="1" width="13.59765625" customWidth="1" style="14" min="7" max="8"/>
    <col hidden="1" width="6.69921875" customWidth="1" style="14" min="9" max="9"/>
    <col width="10.8984375" bestFit="1" customWidth="1" style="7" min="10" max="10"/>
    <col width="12.59765625" customWidth="1" style="7" min="11" max="11"/>
    <col width="10.8984375" bestFit="1" customWidth="1" style="2" min="12" max="12"/>
    <col width="8.3984375" customWidth="1" style="2" min="13" max="13"/>
    <col width="12.8984375" bestFit="1" customWidth="1" style="2" min="14" max="15"/>
    <col width="11.296875" customWidth="1" style="2" min="16" max="16"/>
    <col width="10.8984375" bestFit="1" customWidth="1" style="2" min="17" max="17"/>
    <col width="13.296875" bestFit="1" customWidth="1" style="2" min="18" max="18"/>
    <col width="5.8984375" customWidth="1" style="25" min="19" max="19"/>
    <col width="14.59765625" customWidth="1" style="25" min="20" max="20"/>
    <col width="11.3984375" bestFit="1" customWidth="1" style="25" min="21" max="21"/>
    <col width="8.296875" bestFit="1" customWidth="1" style="25" min="22" max="22"/>
    <col width="11.69921875" customWidth="1" style="25" min="23" max="23"/>
    <col width="17.59765625" bestFit="1" customWidth="1" style="25" min="24" max="24"/>
    <col width="14" bestFit="1" customWidth="1" style="25" min="25" max="25"/>
    <col width="19.8984375" bestFit="1" customWidth="1" style="25" min="26" max="26"/>
    <col width="18.296875" bestFit="1" customWidth="1" style="25" min="27" max="27"/>
    <col width="11.59765625" bestFit="1" customWidth="1" style="25" min="28" max="28"/>
    <col width="8.296875" bestFit="1" customWidth="1" style="25" min="29" max="29"/>
    <col width="7.296875" bestFit="1" customWidth="1" style="25" min="30" max="30"/>
    <col width="14.69921875" bestFit="1" customWidth="1" style="25" min="31" max="31"/>
    <col width="8.8984375" bestFit="1" customWidth="1" style="25" min="32" max="32"/>
    <col width="8" bestFit="1" customWidth="1" style="25" min="33" max="33"/>
    <col width="7.296875" bestFit="1" customWidth="1" style="25" min="34" max="34"/>
    <col width="8.3984375" customWidth="1" style="2" min="35" max="54"/>
    <col width="6.69921875" customWidth="1" style="2" min="55" max="55"/>
    <col width="14.09765625" customWidth="1" style="2" min="56" max="56"/>
    <col width="13" customWidth="1" min="57" max="57"/>
    <col width="8" customWidth="1" min="58" max="58"/>
    <col width="9.69921875" bestFit="1" customWidth="1" min="59" max="59"/>
    <col width="11.09765625" customWidth="1" min="60" max="60"/>
    <col width="7" bestFit="1" customWidth="1" min="61" max="62"/>
    <col width="10.59765625" bestFit="1" customWidth="1" min="63" max="63"/>
    <col width="11.69921875" customWidth="1" min="64" max="64"/>
    <col width="16.3984375" customWidth="1" min="65" max="65"/>
    <col width="11.09765625" bestFit="1" customWidth="1" min="66" max="66"/>
    <col width="11.09765625" bestFit="1" customWidth="1" style="3" min="67" max="67"/>
    <col width="11.09765625" bestFit="1" customWidth="1" min="68" max="70"/>
    <col width="11.09765625" bestFit="1" customWidth="1" style="1" min="71" max="71"/>
    <col width="11.09765625" bestFit="1" customWidth="1" min="72" max="81"/>
  </cols>
  <sheetData>
    <row r="1" ht="28.8" customHeight="1">
      <c r="E1" s="38" t="n">
        <v>45887</v>
      </c>
      <c r="F1" s="38" t="n">
        <v>45887</v>
      </c>
      <c r="J1" s="37" t="n">
        <v>45887</v>
      </c>
      <c r="L1" s="37" t="n">
        <v>45887</v>
      </c>
      <c r="N1" s="38" t="n">
        <v>45841</v>
      </c>
      <c r="O1" s="38" t="n">
        <v>45841</v>
      </c>
      <c r="P1" s="37" t="n">
        <v>45750</v>
      </c>
      <c r="Q1" s="37" t="n"/>
      <c r="T1" s="25" t="inlineStr">
        <is>
          <t>ensemble_best_config</t>
        </is>
      </c>
      <c r="U1" s="25" t="inlineStr">
        <is>
          <t>xgboost_iqr</t>
        </is>
      </c>
      <c r="V1" s="25" t="inlineStr">
        <is>
          <t>vecm</t>
        </is>
      </c>
      <c r="W1" s="25" t="inlineStr">
        <is>
          <t>var_iqr</t>
        </is>
      </c>
      <c r="X1" s="25" t="inlineStr">
        <is>
          <t>sarima_simple_iqr</t>
        </is>
      </c>
      <c r="Y1" s="25" t="inlineStr">
        <is>
          <t>sarima_simple</t>
        </is>
      </c>
      <c r="Z1" s="25" t="inlineStr">
        <is>
          <t>sarima_component_iqr</t>
        </is>
      </c>
      <c r="AA1" s="25" t="inlineStr">
        <is>
          <t>sarima_component</t>
        </is>
      </c>
      <c r="AB1" s="25" t="inlineStr">
        <is>
          <t>prophet_iqr</t>
        </is>
      </c>
      <c r="AC1" s="25" t="inlineStr">
        <is>
          <t>lstm_iqr</t>
        </is>
      </c>
      <c r="AD1" s="25" t="inlineStr">
        <is>
          <t>lstm</t>
        </is>
      </c>
      <c r="AE1" s="25" t="inlineStr">
        <is>
          <t>hybrid_var_xgb</t>
        </is>
      </c>
      <c r="AF1" s="25" t="inlineStr">
        <is>
          <t>favar_iqr</t>
        </is>
      </c>
      <c r="AG1" s="25" t="inlineStr">
        <is>
          <t>dfm_iqr</t>
        </is>
      </c>
      <c r="AH1" s="25" t="inlineStr">
        <is>
          <t>bvar</t>
        </is>
      </c>
      <c r="BD1" s="38" t="n">
        <v>45580</v>
      </c>
      <c r="BE1" s="38" t="n">
        <v>45580</v>
      </c>
    </row>
    <row r="2" ht="28.8" customHeight="1">
      <c r="A2" s="44" t="inlineStr">
        <is>
          <t>Дата</t>
        </is>
      </c>
      <c r="B2" s="45" t="n">
        <v>-0.5</v>
      </c>
      <c r="C2" s="45" t="n"/>
      <c r="D2" s="45" t="n"/>
      <c r="E2" s="44" t="inlineStr">
        <is>
          <t>MoM</t>
        </is>
      </c>
      <c r="F2" s="44" t="inlineStr">
        <is>
          <t>YoY</t>
        </is>
      </c>
      <c r="G2" s="45" t="inlineStr">
        <is>
          <t>1 вер mom</t>
        </is>
      </c>
      <c r="H2" s="45" t="inlineStr">
        <is>
          <t>1 вер yoy</t>
        </is>
      </c>
      <c r="I2" s="10" t="inlineStr">
        <is>
          <t>3mmasaar</t>
        </is>
      </c>
      <c r="J2" s="15" t="inlineStr">
        <is>
          <t>MoM_Old</t>
        </is>
      </c>
      <c r="K2" s="6" t="inlineStr">
        <is>
          <t>MoM разница</t>
        </is>
      </c>
      <c r="L2" s="15" t="inlineStr">
        <is>
          <t>YoY_Old</t>
        </is>
      </c>
      <c r="M2" s="6" t="inlineStr">
        <is>
          <t>YoY разница</t>
        </is>
      </c>
      <c r="N2" s="6" t="inlineStr">
        <is>
          <t>Ростов MoM New</t>
        </is>
      </c>
      <c r="O2" s="6" t="inlineStr">
        <is>
          <t>Ростов YoY
New</t>
        </is>
      </c>
      <c r="P2" s="6" t="inlineStr">
        <is>
          <t>Ростов MoM</t>
        </is>
      </c>
      <c r="Q2" s="6" t="inlineStr">
        <is>
          <t>Ростов YoY</t>
        </is>
      </c>
      <c r="R2" s="6" t="n"/>
      <c r="S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7" t="inlineStr">
        <is>
          <t>БР</t>
        </is>
      </c>
      <c r="BD2" s="6" t="inlineStr">
        <is>
          <t>Ростов + 1 нед октября</t>
        </is>
      </c>
    </row>
    <row r="3">
      <c r="A3" s="46" t="n">
        <v>44562</v>
      </c>
      <c r="B3" s="47" t="n"/>
      <c r="C3" s="47" t="n"/>
      <c r="D3" s="47" t="n"/>
      <c r="E3" s="48" t="n">
        <v>101.22</v>
      </c>
      <c r="F3" s="48" t="n">
        <v>108.84</v>
      </c>
      <c r="G3" s="47" t="n"/>
      <c r="H3" s="47" t="n"/>
      <c r="I3" s="5" t="n"/>
      <c r="J3" s="8" t="n"/>
      <c r="K3" s="9" t="n"/>
      <c r="L3" s="15" t="n"/>
      <c r="M3" s="15" t="n"/>
      <c r="N3" s="15" t="n"/>
      <c r="O3" s="15" t="n"/>
      <c r="P3" s="15" t="n"/>
      <c r="Q3" s="15" t="n"/>
      <c r="R3" s="15" t="n"/>
      <c r="S3" s="6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7" t="n"/>
      <c r="BD3" s="40" t="n">
        <v>44562</v>
      </c>
      <c r="BE3" t="n">
        <v>1.22</v>
      </c>
      <c r="BG3" t="n">
        <v>100</v>
      </c>
      <c r="BH3">
        <f>BE3+$BG$3</f>
        <v/>
      </c>
    </row>
    <row r="4">
      <c r="A4" s="49" t="n">
        <v>44593</v>
      </c>
      <c r="B4" s="47" t="n"/>
      <c r="C4" s="47" t="n"/>
      <c r="D4" s="47" t="n"/>
      <c r="E4" s="48" t="n">
        <v>100.94</v>
      </c>
      <c r="F4" s="48" t="n">
        <v>108.73</v>
      </c>
      <c r="G4" s="47" t="n"/>
      <c r="H4" s="47" t="n"/>
      <c r="I4" s="5" t="n"/>
      <c r="J4" s="8" t="n"/>
      <c r="K4" s="9" t="n"/>
      <c r="L4" s="15" t="n"/>
      <c r="M4" s="15" t="n"/>
      <c r="N4" s="15" t="n"/>
      <c r="O4" s="15" t="n"/>
      <c r="P4" s="15" t="n"/>
      <c r="Q4" s="15" t="n"/>
      <c r="R4" s="15" t="n"/>
      <c r="S4" s="6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15" t="n"/>
      <c r="AV4" s="15" t="n"/>
      <c r="AW4" s="15" t="n"/>
      <c r="AX4" s="15" t="n"/>
      <c r="AY4" s="15" t="n"/>
      <c r="AZ4" s="15" t="n"/>
      <c r="BA4" s="15" t="n"/>
      <c r="BB4" s="15" t="n"/>
      <c r="BC4" s="7" t="n"/>
      <c r="BD4" s="40" t="n">
        <v>44593</v>
      </c>
      <c r="BE4" t="n">
        <v>0.9399999999999999</v>
      </c>
      <c r="BH4">
        <f>BE4+$BG$3</f>
        <v/>
      </c>
    </row>
    <row r="5">
      <c r="A5" s="46" t="n">
        <v>44621</v>
      </c>
      <c r="B5" s="47" t="n"/>
      <c r="C5" s="47" t="n"/>
      <c r="D5" s="47" t="n"/>
      <c r="E5" s="48" t="n">
        <v>105.55</v>
      </c>
      <c r="F5" s="48" t="n">
        <v>113.29</v>
      </c>
      <c r="G5" s="47" t="n"/>
      <c r="H5" s="47" t="n"/>
      <c r="I5" s="5">
        <f>AVERAGE($E3:$E5)^12/100^11-100</f>
        <v/>
      </c>
      <c r="J5" s="8" t="n"/>
      <c r="K5" s="9" t="n"/>
      <c r="L5" s="15" t="n"/>
      <c r="M5" s="15" t="n"/>
      <c r="N5" s="15" t="n"/>
      <c r="O5" s="15" t="n"/>
      <c r="P5" s="15" t="n"/>
      <c r="Q5" s="15" t="n"/>
      <c r="R5" s="15" t="n"/>
      <c r="S5" s="6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  <c r="AX5" s="15" t="n"/>
      <c r="AY5" s="15" t="n"/>
      <c r="AZ5" s="15" t="n"/>
      <c r="BA5" s="15" t="n"/>
      <c r="BB5" s="15" t="n"/>
      <c r="BC5" s="7" t="n"/>
      <c r="BD5" s="40" t="n">
        <v>44621</v>
      </c>
      <c r="BE5" t="n">
        <v>5.55</v>
      </c>
      <c r="BH5">
        <f>BE5+$BG$3</f>
        <v/>
      </c>
    </row>
    <row r="6">
      <c r="A6" s="49" t="n">
        <v>44652</v>
      </c>
      <c r="B6" s="47" t="n"/>
      <c r="C6" s="47" t="n"/>
      <c r="D6" s="47" t="n"/>
      <c r="E6" s="48" t="n">
        <v>103.28</v>
      </c>
      <c r="F6" s="48" t="n">
        <v>116</v>
      </c>
      <c r="G6" s="47" t="n"/>
      <c r="H6" s="47" t="n"/>
      <c r="I6" s="5">
        <f>AVERAGE($E4:$E6)^12/100^11-100</f>
        <v/>
      </c>
      <c r="J6" s="8" t="n"/>
      <c r="K6" s="9" t="n"/>
      <c r="L6" s="15" t="n"/>
      <c r="M6" s="15" t="n"/>
      <c r="N6" s="15" t="n"/>
      <c r="O6" s="15" t="n"/>
      <c r="P6" s="15" t="n"/>
      <c r="Q6" s="15" t="n"/>
      <c r="R6" s="15" t="n"/>
      <c r="S6" s="6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7" t="n"/>
      <c r="BD6" s="40" t="n">
        <v>44652</v>
      </c>
      <c r="BE6" t="n">
        <v>3.28</v>
      </c>
      <c r="BH6">
        <f>BE6+$BG$3</f>
        <v/>
      </c>
    </row>
    <row r="7">
      <c r="A7" s="46" t="n">
        <v>44682</v>
      </c>
      <c r="B7" s="47" t="n"/>
      <c r="C7" s="47" t="n"/>
      <c r="D7" s="47" t="n"/>
      <c r="E7" s="48" t="n">
        <v>100.68</v>
      </c>
      <c r="F7" s="48" t="n">
        <v>116.31</v>
      </c>
      <c r="G7" s="47" t="n"/>
      <c r="H7" s="47" t="n"/>
      <c r="I7" s="5">
        <f>AVERAGE($E5:$E7)^12/100^11-100</f>
        <v/>
      </c>
      <c r="J7" s="8" t="n"/>
      <c r="K7" s="9" t="n"/>
      <c r="L7" s="7" t="n"/>
      <c r="M7" s="7" t="n"/>
      <c r="N7" s="7" t="n"/>
      <c r="O7" s="7" t="n"/>
      <c r="P7" s="7" t="n"/>
      <c r="Q7" s="7" t="n"/>
      <c r="R7" s="7" t="n"/>
      <c r="S7" s="94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40" t="n">
        <v>44682</v>
      </c>
      <c r="BE7" t="n">
        <v>0.68</v>
      </c>
      <c r="BH7">
        <f>BE7+$BG$3</f>
        <v/>
      </c>
    </row>
    <row r="8">
      <c r="A8" s="49" t="n">
        <v>44713</v>
      </c>
      <c r="B8" s="50" t="n"/>
      <c r="C8" s="50" t="n"/>
      <c r="D8" s="50" t="n"/>
      <c r="E8" s="51" t="n">
        <v>99.31999999999999</v>
      </c>
      <c r="F8" s="51" t="n">
        <v>114.88</v>
      </c>
      <c r="G8" s="50" t="n"/>
      <c r="H8" s="50" t="n"/>
      <c r="I8" s="5">
        <f>AVERAGE($E6:$E8)^12/100^11-100</f>
        <v/>
      </c>
      <c r="J8" s="8" t="n"/>
      <c r="K8" s="4" t="n"/>
      <c r="L8" s="7" t="n"/>
      <c r="M8" s="7" t="n"/>
      <c r="N8" s="7" t="n"/>
      <c r="O8" s="7" t="n"/>
      <c r="P8" s="7" t="n"/>
      <c r="Q8" s="7" t="n"/>
      <c r="R8" s="7" t="n"/>
      <c r="S8" s="94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40" t="n">
        <v>44713</v>
      </c>
      <c r="BE8" t="n">
        <v>-0.68</v>
      </c>
      <c r="BH8">
        <f>BE8+$BG$3</f>
        <v/>
      </c>
    </row>
    <row r="9">
      <c r="A9" s="46" t="n">
        <v>44743</v>
      </c>
      <c r="B9" s="50" t="n"/>
      <c r="C9" s="50" t="n"/>
      <c r="D9" s="50" t="n"/>
      <c r="E9" s="51" t="n">
        <v>99.23</v>
      </c>
      <c r="F9" s="51" t="n">
        <v>113.75</v>
      </c>
      <c r="G9" s="50" t="n"/>
      <c r="H9" s="50" t="n"/>
      <c r="I9" s="5">
        <f>AVERAGE($E7:$E9)^12/100^11-100</f>
        <v/>
      </c>
      <c r="J9" s="8" t="n"/>
      <c r="K9" s="4" t="n"/>
      <c r="L9" s="7" t="n"/>
      <c r="M9" s="7" t="n"/>
      <c r="N9" s="7" t="n"/>
      <c r="O9" s="7" t="n"/>
      <c r="P9" s="7" t="n"/>
      <c r="Q9" s="7" t="n"/>
      <c r="R9" s="7" t="n"/>
      <c r="S9" s="94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40" t="n">
        <v>44743</v>
      </c>
      <c r="BE9" t="n">
        <v>-0.77</v>
      </c>
      <c r="BH9">
        <f>BE9+$BG$3</f>
        <v/>
      </c>
    </row>
    <row r="10">
      <c r="A10" s="49" t="n">
        <v>44774</v>
      </c>
      <c r="B10" s="50" t="n"/>
      <c r="C10" s="50" t="n"/>
      <c r="D10" s="50" t="n"/>
      <c r="E10" s="51" t="n">
        <v>99.43000000000001</v>
      </c>
      <c r="F10" s="51" t="n">
        <v>112.92</v>
      </c>
      <c r="G10" s="50" t="n"/>
      <c r="H10" s="50" t="n"/>
      <c r="I10" s="5">
        <f>AVERAGE($E8:$E10)^12/100^11-100</f>
        <v/>
      </c>
      <c r="J10" s="8" t="n"/>
      <c r="K10" s="4" t="n"/>
      <c r="L10" s="7" t="n"/>
      <c r="M10" s="7" t="n"/>
      <c r="N10" s="7" t="n"/>
      <c r="O10" s="7" t="n"/>
      <c r="P10" s="7" t="n"/>
      <c r="Q10" s="7" t="n"/>
      <c r="R10" s="7" t="n"/>
      <c r="S10" s="94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40" t="n">
        <v>44774</v>
      </c>
      <c r="BE10" t="n">
        <v>-0.57</v>
      </c>
      <c r="BH10">
        <f>BE10+$BG$3</f>
        <v/>
      </c>
    </row>
    <row r="11">
      <c r="A11" s="46" t="n">
        <v>44805</v>
      </c>
      <c r="B11" s="50" t="n"/>
      <c r="C11" s="50" t="n"/>
      <c r="D11" s="50" t="n"/>
      <c r="E11" s="51" t="n">
        <v>100.33</v>
      </c>
      <c r="F11" s="51" t="n">
        <v>112.46</v>
      </c>
      <c r="G11" s="50" t="n"/>
      <c r="H11" s="50" t="n"/>
      <c r="I11" s="5">
        <f>AVERAGE($E9:$E11)^12/100^11-100</f>
        <v/>
      </c>
      <c r="J11" s="8" t="n"/>
      <c r="K11" s="4" t="n"/>
      <c r="L11" s="7" t="n"/>
      <c r="M11" s="7" t="n"/>
      <c r="N11" s="7" t="n"/>
      <c r="O11" s="7" t="n"/>
      <c r="P11" s="7" t="n"/>
      <c r="Q11" s="7" t="n"/>
      <c r="R11" s="7" t="n"/>
      <c r="S11" s="94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40" t="n">
        <v>44805</v>
      </c>
      <c r="BE11" t="n">
        <v>0.33</v>
      </c>
      <c r="BH11">
        <f>BE11+$BG$3</f>
        <v/>
      </c>
    </row>
    <row r="12">
      <c r="A12" s="49" t="n">
        <v>44835</v>
      </c>
      <c r="B12" s="50" t="n"/>
      <c r="C12" s="50" t="n"/>
      <c r="D12" s="50" t="n"/>
      <c r="E12" s="51" t="n">
        <v>100.66</v>
      </c>
      <c r="F12" s="51" t="n">
        <v>112.17</v>
      </c>
      <c r="G12" s="50" t="n"/>
      <c r="H12" s="50" t="n"/>
      <c r="I12" s="5">
        <f>AVERAGE($E10:$E12)^12/100^11-100</f>
        <v/>
      </c>
      <c r="J12" s="8" t="n"/>
      <c r="K12" s="4" t="n"/>
      <c r="L12" s="7" t="n"/>
      <c r="M12" s="7" t="n"/>
      <c r="N12" s="7" t="n"/>
      <c r="O12" s="7" t="n"/>
      <c r="P12" s="7" t="n"/>
      <c r="Q12" s="7" t="n"/>
      <c r="R12" s="7" t="n"/>
      <c r="S12" s="94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40" t="n">
        <v>44835</v>
      </c>
      <c r="BE12" t="n">
        <v>0.66</v>
      </c>
      <c r="BH12">
        <f>BE12+$BG$3</f>
        <v/>
      </c>
    </row>
    <row r="13">
      <c r="A13" s="46" t="n">
        <v>44866</v>
      </c>
      <c r="B13" s="50" t="n"/>
      <c r="C13" s="50" t="n"/>
      <c r="D13" s="50" t="n"/>
      <c r="E13" s="51" t="n">
        <v>100.26</v>
      </c>
      <c r="F13" s="51" t="n">
        <v>111.51</v>
      </c>
      <c r="G13" s="50" t="n"/>
      <c r="H13" s="50" t="n"/>
      <c r="I13" s="5">
        <f>AVERAGE($E11:$E13)^12/100^11-100</f>
        <v/>
      </c>
      <c r="J13" s="8" t="n"/>
      <c r="K13" s="4" t="n"/>
      <c r="L13" s="7" t="n"/>
      <c r="M13" s="7" t="n"/>
      <c r="N13" s="7" t="n"/>
      <c r="O13" s="7" t="n"/>
      <c r="P13" s="7" t="n"/>
      <c r="Q13" s="7" t="n"/>
      <c r="R13" s="7" t="n"/>
      <c r="S13" s="94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40" t="n">
        <v>44866</v>
      </c>
      <c r="BE13" t="n">
        <v>0.26</v>
      </c>
      <c r="BH13">
        <f>BE13+$BG$3</f>
        <v/>
      </c>
    </row>
    <row r="14">
      <c r="A14" s="49" t="n">
        <v>44896</v>
      </c>
      <c r="B14" s="50" t="n"/>
      <c r="C14" s="50" t="n"/>
      <c r="D14" s="50" t="n"/>
      <c r="E14" s="51" t="n">
        <v>100.57</v>
      </c>
      <c r="F14" s="51" t="n">
        <v>111.9</v>
      </c>
      <c r="G14" s="50" t="n"/>
      <c r="H14" s="50" t="n"/>
      <c r="I14" s="5">
        <f>AVERAGE($E12:$E14)^12/100^11-100</f>
        <v/>
      </c>
      <c r="J14" s="8" t="n"/>
      <c r="K14" s="4" t="n"/>
      <c r="L14" s="7" t="n"/>
      <c r="M14" s="7" t="n"/>
      <c r="N14" s="7" t="n"/>
      <c r="O14" s="7" t="n"/>
      <c r="P14" s="7" t="n"/>
      <c r="Q14" s="7" t="n"/>
      <c r="R14" s="7" t="n"/>
      <c r="S14" s="94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40" t="n">
        <v>44896</v>
      </c>
      <c r="BE14" t="n">
        <v>0.57</v>
      </c>
      <c r="BH14">
        <f>BE14+$BG$3</f>
        <v/>
      </c>
    </row>
    <row r="15">
      <c r="A15" s="46" t="n">
        <v>44927</v>
      </c>
      <c r="B15" s="50" t="n"/>
      <c r="C15" s="50" t="n"/>
      <c r="D15" s="50" t="n"/>
      <c r="E15" s="51" t="n">
        <v>101.13</v>
      </c>
      <c r="F15" s="51" t="n">
        <v>111.8</v>
      </c>
      <c r="G15" s="50" t="n"/>
      <c r="H15" s="50" t="n"/>
      <c r="I15" s="5">
        <f>AVERAGE($E13:$E15)^12/100^11-100</f>
        <v/>
      </c>
      <c r="J15" s="8" t="n"/>
      <c r="K15" s="4" t="n"/>
      <c r="L15" s="7" t="n"/>
      <c r="M15" s="7" t="n"/>
      <c r="N15" s="7" t="n"/>
      <c r="O15" s="7" t="n"/>
      <c r="P15" s="7" t="n"/>
      <c r="Q15" s="7" t="n"/>
      <c r="R15" s="7" t="n"/>
      <c r="S15" s="94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40" t="n">
        <v>44927</v>
      </c>
      <c r="BE15" t="n">
        <v>1.13</v>
      </c>
      <c r="BH15">
        <f>BE15+$BG$3</f>
        <v/>
      </c>
    </row>
    <row r="16">
      <c r="A16" s="49" t="n">
        <v>44958</v>
      </c>
      <c r="B16" s="52" t="n"/>
      <c r="C16" s="52" t="n"/>
      <c r="D16" s="52" t="n"/>
      <c r="E16" s="53" t="n">
        <v>100.75</v>
      </c>
      <c r="F16" s="53" t="n">
        <v>111.59</v>
      </c>
      <c r="G16" s="52" t="n"/>
      <c r="H16" s="52" t="n"/>
      <c r="I16" s="5">
        <f>AVERAGE($E14:$E16)^12/100^11-100</f>
        <v/>
      </c>
      <c r="J16" s="8" t="n"/>
      <c r="K16" s="5" t="n">
        <v>0.09</v>
      </c>
      <c r="L16" s="7" t="n">
        <v>100</v>
      </c>
      <c r="M16" s="8">
        <f>K16+L16</f>
        <v/>
      </c>
      <c r="N16" s="7" t="n"/>
      <c r="O16" s="7" t="n"/>
      <c r="P16" s="7" t="n"/>
      <c r="Q16" s="7" t="n"/>
      <c r="R16" s="7" t="n"/>
      <c r="S16" s="94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40" t="n">
        <v>44958</v>
      </c>
      <c r="BE16" t="n">
        <v>0.75</v>
      </c>
      <c r="BH16">
        <f>BE16+$BG$3</f>
        <v/>
      </c>
    </row>
    <row r="17">
      <c r="A17" s="46" t="n">
        <v>44986</v>
      </c>
      <c r="B17" s="52" t="n"/>
      <c r="C17" s="52" t="n"/>
      <c r="D17" s="52" t="n"/>
      <c r="E17" s="54" t="n">
        <v>100.39</v>
      </c>
      <c r="F17" s="53" t="n">
        <v>106.14</v>
      </c>
      <c r="G17" s="52" t="n"/>
      <c r="H17" s="52" t="n"/>
      <c r="I17" s="5">
        <f>AVERAGE($E15:$E17)^12/100^11-100</f>
        <v/>
      </c>
      <c r="J17" s="8" t="n"/>
      <c r="K17" s="5" t="n">
        <v>0.62</v>
      </c>
      <c r="L17" s="7" t="n">
        <v>100</v>
      </c>
      <c r="M17" s="8">
        <f>K17+L17</f>
        <v/>
      </c>
      <c r="N17" s="7" t="n"/>
      <c r="O17" s="7" t="n"/>
      <c r="P17" s="7" t="n"/>
      <c r="Q17" s="7" t="n"/>
      <c r="R17" s="7" t="n"/>
      <c r="S17" s="94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40" t="n">
        <v>44986</v>
      </c>
      <c r="BE17" t="n">
        <v>0.39</v>
      </c>
      <c r="BH17">
        <f>BE17+$BG$3</f>
        <v/>
      </c>
    </row>
    <row r="18">
      <c r="A18" s="49" t="n">
        <v>45017</v>
      </c>
      <c r="B18" s="52" t="n"/>
      <c r="C18" s="52" t="n"/>
      <c r="D18" s="52" t="n"/>
      <c r="E18" s="55" t="n">
        <v>100.72</v>
      </c>
      <c r="F18" s="53" t="n">
        <v>103.51</v>
      </c>
      <c r="G18" s="52" t="n"/>
      <c r="H18" s="52" t="n"/>
      <c r="I18" s="5">
        <f>AVERAGE($E16:$E18)^12/100^11-100</f>
        <v/>
      </c>
      <c r="J18" s="8" t="n"/>
      <c r="K18" s="5" t="n"/>
      <c r="L18" s="7" t="n"/>
      <c r="M18" s="7" t="n"/>
      <c r="N18" s="7" t="n"/>
      <c r="O18" s="7" t="n"/>
      <c r="P18" s="7" t="n"/>
      <c r="Q18" s="7" t="n"/>
      <c r="R18" s="7" t="n"/>
      <c r="S18" s="94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40" t="n">
        <v>45017</v>
      </c>
      <c r="BE18" t="n">
        <v>0.72</v>
      </c>
      <c r="BH18">
        <f>BE18+$BG$3</f>
        <v/>
      </c>
    </row>
    <row r="19">
      <c r="A19" s="46" t="n">
        <v>45047</v>
      </c>
      <c r="B19" s="52" t="n"/>
      <c r="C19" s="52" t="n"/>
      <c r="D19" s="52" t="n"/>
      <c r="E19" s="55" t="n">
        <v>99.75</v>
      </c>
      <c r="F19" s="53" t="n">
        <v>102.55</v>
      </c>
      <c r="G19" s="52" t="n"/>
      <c r="H19" s="52" t="n"/>
      <c r="I19" s="5">
        <f>AVERAGE($E17:$E19)^12/100^11-100</f>
        <v/>
      </c>
      <c r="J19" s="8" t="n"/>
      <c r="K19" s="5" t="n"/>
      <c r="L19" s="4" t="n"/>
      <c r="M19" s="4" t="n"/>
      <c r="N19" s="4" t="n"/>
      <c r="O19" s="4" t="n"/>
      <c r="P19" s="4" t="n"/>
      <c r="Q19" s="4" t="n"/>
      <c r="R19" s="4" t="n"/>
      <c r="S19" s="9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5" t="n"/>
      <c r="BD19" s="40" t="n">
        <v>45047</v>
      </c>
      <c r="BE19" t="n">
        <v>-0.25</v>
      </c>
      <c r="BH19">
        <f>BE19+$BG$3</f>
        <v/>
      </c>
    </row>
    <row r="20">
      <c r="A20" s="49" t="n">
        <v>45078</v>
      </c>
      <c r="B20" s="52" t="n"/>
      <c r="C20" s="52" t="n"/>
      <c r="D20" s="52" t="n"/>
      <c r="E20" s="55" t="n">
        <v>100.43</v>
      </c>
      <c r="F20" s="53" t="n">
        <v>103.69</v>
      </c>
      <c r="G20" s="52" t="n"/>
      <c r="H20" s="52" t="n"/>
      <c r="I20" s="5">
        <f>AVERAGE($E18:$E20)^12/100^11-100</f>
        <v/>
      </c>
      <c r="J20" s="8" t="n"/>
      <c r="K20" s="5" t="n"/>
      <c r="L20" s="7" t="n"/>
      <c r="M20" s="7" t="n"/>
      <c r="N20" s="7" t="n"/>
      <c r="O20" s="7" t="n"/>
      <c r="P20" s="7" t="n"/>
      <c r="Q20" s="7" t="n"/>
      <c r="R20" s="7" t="n"/>
      <c r="S20" s="94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5" t="n"/>
      <c r="BD20" s="40" t="n">
        <v>45078</v>
      </c>
      <c r="BE20" t="n">
        <v>0.43</v>
      </c>
      <c r="BH20">
        <f>BE20+$BG$3</f>
        <v/>
      </c>
    </row>
    <row r="21">
      <c r="A21" s="46" t="n">
        <v>45108</v>
      </c>
      <c r="B21" s="52" t="n"/>
      <c r="C21" s="52" t="n"/>
      <c r="D21" s="52" t="n"/>
      <c r="E21" s="55" t="n">
        <v>100.5</v>
      </c>
      <c r="F21" s="53" t="n">
        <v>105.03</v>
      </c>
      <c r="G21" s="52" t="n"/>
      <c r="H21" s="52" t="n"/>
      <c r="I21" s="5">
        <f>AVERAGE($E19:$E21)^12/100^11-100</f>
        <v/>
      </c>
      <c r="J21" s="8" t="n"/>
      <c r="K21" s="5" t="n"/>
      <c r="L21" s="7" t="n"/>
      <c r="M21" s="7" t="n"/>
      <c r="N21" s="7" t="n"/>
      <c r="O21" s="7" t="n"/>
      <c r="P21" s="7" t="n"/>
      <c r="Q21" s="7" t="n"/>
      <c r="R21" s="7" t="n"/>
      <c r="S21" s="94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5" t="n"/>
      <c r="BD21" s="40" t="n">
        <v>45108</v>
      </c>
      <c r="BE21" t="n">
        <v>0.5</v>
      </c>
      <c r="BH21">
        <f>BE21+$BG$3</f>
        <v/>
      </c>
    </row>
    <row r="22">
      <c r="A22" s="49" t="n">
        <v>45139</v>
      </c>
      <c r="B22" s="52" t="n"/>
      <c r="C22" s="52" t="n"/>
      <c r="D22" s="52" t="n"/>
      <c r="E22" s="55" t="n">
        <v>99.93000000000001</v>
      </c>
      <c r="F22" s="53" t="n">
        <v>105.56</v>
      </c>
      <c r="G22" s="53" t="n"/>
      <c r="H22" s="53" t="n"/>
      <c r="I22" s="5">
        <f>AVERAGE($E20:$E22)^12/100^11-100</f>
        <v/>
      </c>
      <c r="J22" s="22" t="n"/>
      <c r="K22" s="125" t="n"/>
      <c r="L22" s="7" t="n"/>
      <c r="M22" s="8">
        <f>F22-L22</f>
        <v/>
      </c>
      <c r="N22" s="58">
        <f>E22</f>
        <v/>
      </c>
      <c r="O22" s="8" t="n"/>
      <c r="P22" s="8" t="n"/>
      <c r="Q22" s="8" t="n"/>
      <c r="R22" s="8" t="n"/>
      <c r="S22" s="95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5" t="n"/>
      <c r="BD22" s="40" t="n">
        <v>45139</v>
      </c>
      <c r="BE22" t="n">
        <v>-0.07000000000000001</v>
      </c>
      <c r="BH22">
        <f>BE22+$BG$3</f>
        <v/>
      </c>
    </row>
    <row r="23">
      <c r="A23" s="46" t="n">
        <v>45170</v>
      </c>
      <c r="B23" s="56" t="n"/>
      <c r="C23" s="56" t="n"/>
      <c r="D23" s="56" t="n"/>
      <c r="E23" s="55" t="n">
        <v>101.75</v>
      </c>
      <c r="F23" s="53" t="n">
        <v>107.05</v>
      </c>
      <c r="G23" s="53" t="n"/>
      <c r="H23" s="53" t="n"/>
      <c r="I23" s="5">
        <f>AVERAGE($E21:$E23)^12/100^11-100</f>
        <v/>
      </c>
      <c r="J23" s="22" t="n"/>
      <c r="K23" s="125" t="n"/>
      <c r="L23" s="29" t="n"/>
      <c r="M23" s="8">
        <f>F23-L23</f>
        <v/>
      </c>
      <c r="N23" s="58">
        <f>E23</f>
        <v/>
      </c>
      <c r="O23" s="8" t="n"/>
      <c r="P23" s="8" t="n"/>
      <c r="Q23" s="8" t="n"/>
      <c r="R23" s="8" t="n"/>
      <c r="S23" s="95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5" t="n"/>
      <c r="BD23" s="40" t="n">
        <v>45170</v>
      </c>
      <c r="BE23" t="n">
        <v>1.75</v>
      </c>
      <c r="BH23">
        <f>BE23+$BG$3</f>
        <v/>
      </c>
    </row>
    <row r="24">
      <c r="A24" s="49" t="n">
        <v>45200</v>
      </c>
      <c r="B24" s="53">
        <f>E24-0.5</f>
        <v/>
      </c>
      <c r="C24" s="53" t="n"/>
      <c r="D24" s="53" t="n"/>
      <c r="E24" s="55" t="n">
        <v>100.46</v>
      </c>
      <c r="F24" s="53" t="n">
        <v>106.84</v>
      </c>
      <c r="G24" s="53" t="n"/>
      <c r="H24" s="53" t="n"/>
      <c r="I24" s="5">
        <f>AVERAGE($E22:$E24)^12/100^11-100</f>
        <v/>
      </c>
      <c r="J24" s="22" t="n"/>
      <c r="K24" s="125" t="n"/>
      <c r="L24" s="29" t="n"/>
      <c r="M24" s="8">
        <f>F24-L24</f>
        <v/>
      </c>
      <c r="N24" s="98" t="n"/>
      <c r="O24" s="8" t="n"/>
      <c r="P24" s="8" t="n"/>
      <c r="Q24" s="8" t="n"/>
      <c r="R24" s="8" t="n"/>
      <c r="S24" s="95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5" t="n"/>
      <c r="BD24" s="40" t="n">
        <v>45200</v>
      </c>
      <c r="BE24" t="n">
        <v>0.46</v>
      </c>
      <c r="BH24">
        <f>BE24+$BG$3</f>
        <v/>
      </c>
    </row>
    <row r="25">
      <c r="A25" s="46" t="n">
        <v>45231</v>
      </c>
      <c r="B25" s="56" t="n"/>
      <c r="C25" s="56" t="n"/>
      <c r="D25" s="56" t="n"/>
      <c r="E25" s="55" t="n">
        <v>100.74</v>
      </c>
      <c r="F25" s="53" t="n">
        <v>107.34</v>
      </c>
      <c r="G25" s="56" t="n">
        <v>107.34</v>
      </c>
      <c r="H25" s="56" t="n"/>
      <c r="I25" s="5">
        <f>AVERAGE($E23:$E25)^12/100^11-100</f>
        <v/>
      </c>
      <c r="J25" s="22" t="n"/>
      <c r="K25" s="125" t="n"/>
      <c r="L25" s="22" t="n"/>
      <c r="M25" s="8">
        <f>F25-L25</f>
        <v/>
      </c>
      <c r="N25" s="98" t="n"/>
      <c r="O25" s="8" t="n"/>
      <c r="P25" s="22" t="n"/>
      <c r="Q25" s="8" t="n"/>
      <c r="R25" s="8" t="n"/>
      <c r="S25" s="95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5" t="n"/>
      <c r="BD25" s="40" t="n">
        <v>45231</v>
      </c>
      <c r="BE25" t="n">
        <v>0.74</v>
      </c>
      <c r="BH25">
        <f>BE25+$BG$3</f>
        <v/>
      </c>
    </row>
    <row r="26">
      <c r="A26" s="49" t="n">
        <v>45261</v>
      </c>
      <c r="B26" s="53" t="n"/>
      <c r="C26" s="53" t="n"/>
      <c r="D26" s="53" t="n"/>
      <c r="E26" s="55" t="n">
        <v>100.29</v>
      </c>
      <c r="F26" s="53" t="n">
        <v>107.05</v>
      </c>
      <c r="G26" s="53" t="n">
        <v>100.29</v>
      </c>
      <c r="H26" s="53" t="n"/>
      <c r="I26" s="5">
        <f>AVERAGE($E24:$E26)^12/100^11-100</f>
        <v/>
      </c>
      <c r="J26" s="22" t="n"/>
      <c r="K26" s="125" t="n"/>
      <c r="L26" s="22" t="n"/>
      <c r="M26" s="8">
        <f>F26-L26</f>
        <v/>
      </c>
      <c r="N26" s="98" t="n"/>
      <c r="O26" s="8" t="n"/>
      <c r="P26" s="22" t="n"/>
      <c r="Q26" s="8" t="n"/>
      <c r="R26" s="8" t="n"/>
      <c r="S26" s="95" t="n"/>
      <c r="T26" s="95" t="n"/>
      <c r="U26" s="95" t="n"/>
      <c r="V26" s="95" t="n"/>
      <c r="W26" s="95" t="n"/>
      <c r="X26" s="95" t="n"/>
      <c r="Y26" s="95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5" t="n"/>
      <c r="BD26" s="40" t="n">
        <v>45261</v>
      </c>
      <c r="BE26" t="n">
        <v>0.29</v>
      </c>
      <c r="BH26">
        <f>BE26+$BG$3</f>
        <v/>
      </c>
    </row>
    <row r="27" ht="15" customHeight="1">
      <c r="A27" s="46" t="n">
        <v>45292</v>
      </c>
      <c r="B27" s="53" t="n"/>
      <c r="C27" s="53" t="n"/>
      <c r="D27" s="53" t="n"/>
      <c r="E27" s="55" t="n">
        <v>100.87</v>
      </c>
      <c r="F27" s="53" t="n">
        <v>106.77</v>
      </c>
      <c r="G27" s="53" t="n">
        <v>100.87</v>
      </c>
      <c r="H27" s="53" t="n"/>
      <c r="I27" s="5">
        <f>AVERAGE($E25:$E27)^12/100^11-100</f>
        <v/>
      </c>
      <c r="J27" s="22" t="n"/>
      <c r="K27" s="125" t="n"/>
      <c r="L27" s="22" t="n"/>
      <c r="M27" s="8" t="n"/>
      <c r="N27" s="98" t="n"/>
      <c r="O27" s="8" t="n"/>
      <c r="P27" s="22" t="n"/>
      <c r="Q27" s="8" t="n"/>
      <c r="R27" s="8" t="n"/>
      <c r="S27" s="95" t="n"/>
      <c r="T27" s="95" t="n"/>
      <c r="U27" s="95" t="n"/>
      <c r="V27" s="95" t="n"/>
      <c r="W27" s="95" t="n"/>
      <c r="X27" s="95" t="n"/>
      <c r="Y27" s="95" t="n"/>
      <c r="Z27" s="95" t="n"/>
      <c r="AA27" s="95" t="n"/>
      <c r="AB27" s="95" t="n"/>
      <c r="AC27" s="95" t="n"/>
      <c r="AD27" s="95" t="n"/>
      <c r="AE27" s="95" t="n"/>
      <c r="AF27" s="95" t="n"/>
      <c r="AG27" s="95" t="n"/>
      <c r="AH27" s="95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5" t="n"/>
      <c r="BD27" s="40" t="n">
        <v>45292</v>
      </c>
      <c r="BE27" t="n">
        <v>0.87</v>
      </c>
      <c r="BH27">
        <f>BE27+$BG$3</f>
        <v/>
      </c>
    </row>
    <row r="28">
      <c r="A28" s="49" t="n">
        <v>45323</v>
      </c>
      <c r="B28" s="53" t="n"/>
      <c r="C28" s="53" t="n"/>
      <c r="D28" s="53" t="n"/>
      <c r="E28" s="55" t="n">
        <v>100.53</v>
      </c>
      <c r="F28" s="53" t="n">
        <v>106.54</v>
      </c>
      <c r="G28" s="53" t="n">
        <v>100.53</v>
      </c>
      <c r="H28" s="53" t="n"/>
      <c r="I28" s="5">
        <f>AVERAGE($E26:$E28)^12/100^11-100</f>
        <v/>
      </c>
      <c r="J28" s="22" t="n"/>
      <c r="K28" s="125" t="n"/>
      <c r="L28" s="22" t="n"/>
      <c r="M28" s="8" t="n"/>
      <c r="N28" s="98" t="n"/>
      <c r="O28" s="8" t="n"/>
      <c r="P28" s="8" t="n"/>
      <c r="Q28" s="8" t="n"/>
      <c r="R28" s="8" t="n"/>
      <c r="S28" s="95" t="n"/>
      <c r="T28" s="95" t="n"/>
      <c r="U28" s="95" t="n"/>
      <c r="V28" s="95" t="n"/>
      <c r="W28" s="95" t="n"/>
      <c r="X28" s="95" t="n"/>
      <c r="Y28" s="95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5" t="n"/>
      <c r="BD28" s="40" t="n">
        <v>45323</v>
      </c>
      <c r="BE28" t="n">
        <v>0.53</v>
      </c>
      <c r="BH28">
        <f>BE28+$BG$3</f>
        <v/>
      </c>
    </row>
    <row r="29">
      <c r="A29" s="46" t="n">
        <v>45352</v>
      </c>
      <c r="B29" s="53" t="n"/>
      <c r="C29" s="53" t="n"/>
      <c r="D29" s="53" t="n"/>
      <c r="E29" s="55" t="n">
        <v>100.53</v>
      </c>
      <c r="F29" s="53" t="n">
        <v>106.68</v>
      </c>
      <c r="G29" s="53" t="n">
        <v>100.53</v>
      </c>
      <c r="H29" s="53" t="n"/>
      <c r="I29" s="5">
        <f>AVERAGE($E27:$E29)^12/100^11-100</f>
        <v/>
      </c>
      <c r="J29" s="22" t="n"/>
      <c r="K29" s="125" t="n"/>
      <c r="L29" s="22" t="n"/>
      <c r="M29" s="8" t="n"/>
      <c r="N29" s="98" t="n"/>
      <c r="O29" s="8" t="n"/>
      <c r="P29" s="8" t="n"/>
      <c r="Q29" s="8" t="n"/>
      <c r="R29" s="8" t="n"/>
      <c r="S29" s="95" t="n"/>
      <c r="T29" s="95" t="n"/>
      <c r="U29" s="95" t="n"/>
      <c r="V29" s="95" t="n"/>
      <c r="W29" s="95" t="n"/>
      <c r="X29" s="95" t="n"/>
      <c r="Y29" s="95" t="n"/>
      <c r="Z29" s="95" t="n"/>
      <c r="AA29" s="95" t="n"/>
      <c r="AB29" s="95" t="n"/>
      <c r="AC29" s="95" t="n"/>
      <c r="AD29" s="95" t="n"/>
      <c r="AE29" s="95" t="n"/>
      <c r="AF29" s="95" t="n"/>
      <c r="AG29" s="95" t="n"/>
      <c r="AH29" s="95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5" t="n"/>
      <c r="BD29" s="40" t="n">
        <v>45352</v>
      </c>
      <c r="BE29" t="n">
        <v>0.53</v>
      </c>
      <c r="BH29">
        <f>BE29+$BG$3</f>
        <v/>
      </c>
    </row>
    <row r="30">
      <c r="A30" s="49" t="n">
        <v>45383</v>
      </c>
      <c r="B30" s="53" t="n"/>
      <c r="C30" s="53" t="n"/>
      <c r="D30" s="53" t="n"/>
      <c r="E30" s="54" t="n">
        <v>100.38</v>
      </c>
      <c r="F30" s="53" t="n">
        <v>106.32</v>
      </c>
      <c r="G30" s="53" t="n">
        <v>100.38</v>
      </c>
      <c r="H30" s="53" t="n"/>
      <c r="I30" s="5">
        <f>AVERAGE($E28:$E30)^12/100^11-100</f>
        <v/>
      </c>
      <c r="J30" s="22" t="n"/>
      <c r="K30" s="125" t="n"/>
      <c r="L30" s="22" t="n"/>
      <c r="M30" s="8" t="n"/>
      <c r="N30" s="98" t="n"/>
      <c r="O30" s="8" t="n"/>
      <c r="P30" s="8" t="n"/>
      <c r="Q30" s="8" t="n"/>
      <c r="R30" s="8" t="n"/>
      <c r="S30" s="95" t="n"/>
      <c r="T30" s="95" t="n"/>
      <c r="U30" s="95" t="n"/>
      <c r="V30" s="95" t="n"/>
      <c r="W30" s="95" t="n"/>
      <c r="X30" s="95" t="n"/>
      <c r="Y30" s="95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5" t="n"/>
      <c r="BD30" s="40" t="n">
        <v>45383</v>
      </c>
      <c r="BE30" t="n">
        <v>0.38</v>
      </c>
      <c r="BH30">
        <f>BE30+$BG$3</f>
        <v/>
      </c>
    </row>
    <row r="31">
      <c r="A31" s="46" t="n">
        <v>45413</v>
      </c>
      <c r="B31" s="53" t="n"/>
      <c r="C31" s="53" t="n"/>
      <c r="D31" s="53" t="n"/>
      <c r="E31" s="54" t="n">
        <v>100.94</v>
      </c>
      <c r="F31" s="53" t="n">
        <v>107.59</v>
      </c>
      <c r="G31" s="53" t="n">
        <v>100.94</v>
      </c>
      <c r="H31" s="53" t="n"/>
      <c r="I31" s="5">
        <f>AVERAGE($E29:$E31)^12/100^11-100</f>
        <v/>
      </c>
      <c r="J31" s="22" t="n"/>
      <c r="K31" s="125" t="n"/>
      <c r="L31" s="22" t="n"/>
      <c r="M31" s="8" t="n"/>
      <c r="N31" s="98" t="n"/>
      <c r="O31" s="8" t="n"/>
      <c r="P31" s="8" t="n"/>
      <c r="Q31" s="8" t="n"/>
      <c r="R31" s="8" t="n"/>
      <c r="S31" s="95" t="n"/>
      <c r="T31" s="95" t="n"/>
      <c r="U31" s="95" t="n"/>
      <c r="V31" s="95" t="n"/>
      <c r="W31" s="95" t="n"/>
      <c r="X31" s="95" t="n"/>
      <c r="Y31" s="95" t="n"/>
      <c r="Z31" s="95" t="n"/>
      <c r="AA31" s="95" t="n"/>
      <c r="AB31" s="95" t="n"/>
      <c r="AC31" s="95" t="n"/>
      <c r="AD31" s="95" t="n"/>
      <c r="AE31" s="95" t="n"/>
      <c r="AF31" s="95" t="n"/>
      <c r="AG31" s="95" t="n"/>
      <c r="AH31" s="95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5" t="n"/>
      <c r="BD31" s="40" t="n">
        <v>45413</v>
      </c>
      <c r="BE31" t="n">
        <v>0.9399999999999999</v>
      </c>
      <c r="BH31">
        <f>BE31+$BG$3</f>
        <v/>
      </c>
    </row>
    <row r="32">
      <c r="A32" s="49" t="n">
        <v>45444</v>
      </c>
      <c r="B32" s="53" t="n"/>
      <c r="C32" s="53" t="n"/>
      <c r="D32" s="53" t="n"/>
      <c r="E32" s="54" t="n">
        <v>100.18</v>
      </c>
      <c r="F32" s="53" t="n">
        <v>107.33</v>
      </c>
      <c r="G32" s="53" t="n">
        <v>100.18</v>
      </c>
      <c r="H32" s="53" t="n"/>
      <c r="I32" s="5">
        <f>AVERAGE($E30:$E32)^12/100^11-100</f>
        <v/>
      </c>
      <c r="J32" s="8" t="n"/>
      <c r="K32" s="125" t="n"/>
      <c r="L32" s="8" t="n"/>
      <c r="M32" s="8" t="n"/>
      <c r="N32" s="98" t="n"/>
      <c r="O32" s="8" t="n"/>
      <c r="P32" s="39" t="n">
        <v>99.99421865411225</v>
      </c>
      <c r="Q32" s="39" t="n">
        <v>106.0703575852014</v>
      </c>
      <c r="R32" s="8" t="n">
        <v>106.0111232873629</v>
      </c>
      <c r="S32" s="95" t="n"/>
      <c r="T32" s="6" t="n">
        <v>100.18</v>
      </c>
      <c r="U32" s="6" t="n">
        <v>100.18</v>
      </c>
      <c r="V32" s="6" t="n">
        <v>100.18</v>
      </c>
      <c r="W32" s="6" t="n">
        <v>100.18</v>
      </c>
      <c r="X32" s="6" t="n">
        <v>100.18</v>
      </c>
      <c r="Y32" s="6" t="n">
        <v>100.18</v>
      </c>
      <c r="Z32" s="6" t="n">
        <v>100.18</v>
      </c>
      <c r="AA32" s="6" t="n">
        <v>100.18</v>
      </c>
      <c r="AB32" s="6" t="n">
        <v>100.18</v>
      </c>
      <c r="AC32" s="6" t="n">
        <v>100.18</v>
      </c>
      <c r="AD32" s="6" t="n">
        <v>100.18</v>
      </c>
      <c r="AE32" s="6" t="n">
        <v>100.18</v>
      </c>
      <c r="AF32" s="6" t="n">
        <v>100.18</v>
      </c>
      <c r="AG32" s="6" t="n">
        <v>100.18</v>
      </c>
      <c r="AH32" s="6" t="n">
        <v>100.18</v>
      </c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5" t="n"/>
      <c r="BD32" s="40" t="n">
        <v>45444</v>
      </c>
      <c r="BE32" t="n">
        <v>0.18</v>
      </c>
      <c r="BH32">
        <f>BE32+$BG$3</f>
        <v/>
      </c>
    </row>
    <row r="33">
      <c r="A33" s="46" t="n">
        <v>45474</v>
      </c>
      <c r="B33" s="53" t="n"/>
      <c r="C33" s="53" t="n"/>
      <c r="D33" s="53" t="n"/>
      <c r="E33" s="54" t="n">
        <v>101.07</v>
      </c>
      <c r="F33" s="53" t="n">
        <v>107.94</v>
      </c>
      <c r="G33" s="53" t="n">
        <v>101.07</v>
      </c>
      <c r="H33" s="53" t="n"/>
      <c r="I33" s="5">
        <f>AVERAGE($E31:$E33)^12/100^11-100</f>
        <v/>
      </c>
      <c r="J33" s="8" t="n"/>
      <c r="K33" s="125">
        <f>E33-J33</f>
        <v/>
      </c>
      <c r="L33" s="8" t="n"/>
      <c r="M33" s="8" t="n"/>
      <c r="N33" s="98" t="n"/>
      <c r="O33" s="8" t="n"/>
      <c r="P33" s="39" t="n">
        <v>100.72</v>
      </c>
      <c r="Q33" s="39" t="n">
        <v>106.7712701885783</v>
      </c>
      <c r="R33" s="8" t="n">
        <v>104.9175191732198</v>
      </c>
      <c r="S33" s="95" t="n"/>
      <c r="T33" s="6" t="n">
        <v>101.07</v>
      </c>
      <c r="U33" s="6" t="n">
        <v>101.07</v>
      </c>
      <c r="V33" s="6" t="n">
        <v>101.07</v>
      </c>
      <c r="W33" s="6" t="n">
        <v>101.07</v>
      </c>
      <c r="X33" s="6" t="n">
        <v>101.07</v>
      </c>
      <c r="Y33" s="6" t="n">
        <v>101.07</v>
      </c>
      <c r="Z33" s="6" t="n">
        <v>101.07</v>
      </c>
      <c r="AA33" s="6" t="n">
        <v>101.07</v>
      </c>
      <c r="AB33" s="6" t="n">
        <v>101.07</v>
      </c>
      <c r="AC33" s="6" t="n">
        <v>101.07</v>
      </c>
      <c r="AD33" s="6" t="n">
        <v>101.07</v>
      </c>
      <c r="AE33" s="6" t="n">
        <v>101.07</v>
      </c>
      <c r="AF33" s="6" t="n">
        <v>101.07</v>
      </c>
      <c r="AG33" s="6" t="n">
        <v>101.07</v>
      </c>
      <c r="AH33" s="6" t="n">
        <v>101.07</v>
      </c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5" t="n"/>
      <c r="BD33" s="40" t="n">
        <v>45474</v>
      </c>
      <c r="BE33" t="n">
        <v>1.07</v>
      </c>
      <c r="BH33">
        <f>BE33+$BG$3</f>
        <v/>
      </c>
    </row>
    <row r="34">
      <c r="A34" s="49" t="n">
        <v>45505</v>
      </c>
      <c r="B34" s="53" t="n"/>
      <c r="C34" s="53" t="n"/>
      <c r="D34" s="53" t="n"/>
      <c r="E34" s="55" t="n">
        <v>100.09</v>
      </c>
      <c r="F34" s="53" t="n">
        <v>108.1</v>
      </c>
      <c r="G34" s="53" t="n">
        <v>100.09</v>
      </c>
      <c r="H34" s="53" t="n"/>
      <c r="I34" s="5">
        <f>AVERAGE($E32:$E34)^12/100^11-100</f>
        <v/>
      </c>
      <c r="J34" s="8" t="n"/>
      <c r="K34" s="125">
        <f>E34-J34</f>
        <v/>
      </c>
      <c r="L34" s="8" t="n"/>
      <c r="M34" s="8" t="n"/>
      <c r="N34" s="98" t="n"/>
      <c r="O34" s="8" t="n"/>
      <c r="P34" s="39" t="n">
        <v>100.0171912047702</v>
      </c>
      <c r="Q34" s="39" t="n">
        <v>106.8644305576625</v>
      </c>
      <c r="R34" s="8" t="n">
        <v>105.2640009883476</v>
      </c>
      <c r="S34" s="95" t="n"/>
      <c r="T34" s="6" t="n">
        <v>100.09</v>
      </c>
      <c r="U34" s="6" t="n">
        <v>100.09</v>
      </c>
      <c r="V34" s="6" t="n">
        <v>100.09</v>
      </c>
      <c r="W34" s="6" t="n">
        <v>100.09</v>
      </c>
      <c r="X34" s="6" t="n">
        <v>100.09</v>
      </c>
      <c r="Y34" s="6" t="n">
        <v>100.09</v>
      </c>
      <c r="Z34" s="6" t="n">
        <v>100.09</v>
      </c>
      <c r="AA34" s="6" t="n">
        <v>100.09</v>
      </c>
      <c r="AB34" s="6" t="n">
        <v>100.09</v>
      </c>
      <c r="AC34" s="6" t="n">
        <v>100.09</v>
      </c>
      <c r="AD34" s="6" t="n">
        <v>100.09</v>
      </c>
      <c r="AE34" s="6" t="n">
        <v>100.09</v>
      </c>
      <c r="AF34" s="6" t="n">
        <v>100.09</v>
      </c>
      <c r="AG34" s="6" t="n">
        <v>100.09</v>
      </c>
      <c r="AH34" s="6" t="n">
        <v>100.09</v>
      </c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5" t="n"/>
      <c r="BD34" s="40" t="n">
        <v>45505</v>
      </c>
      <c r="BE34" t="n">
        <v>0.09</v>
      </c>
      <c r="BH34">
        <f>BE34+$BG$3</f>
        <v/>
      </c>
    </row>
    <row r="35" ht="14.25" customHeight="1">
      <c r="A35" s="46" t="n">
        <v>45536</v>
      </c>
      <c r="B35" s="53" t="n"/>
      <c r="C35" s="53" t="n"/>
      <c r="D35" s="53" t="n"/>
      <c r="E35" s="54" t="n">
        <v>100.62</v>
      </c>
      <c r="F35" s="53" t="n">
        <v>106.91</v>
      </c>
      <c r="G35" s="53" t="n">
        <v>100.62</v>
      </c>
      <c r="H35" s="53" t="n"/>
      <c r="I35" s="5">
        <f>AVERAGE($E33:$E35)^12/100^11-100</f>
        <v/>
      </c>
      <c r="J35" s="8" t="n"/>
      <c r="K35" s="125">
        <f>E35-J35</f>
        <v/>
      </c>
      <c r="L35" s="8" t="n"/>
      <c r="M35" s="8" t="n"/>
      <c r="N35" s="58" t="n">
        <v>100.62</v>
      </c>
      <c r="O35" s="98" t="n"/>
      <c r="P35" s="39" t="n">
        <v>100.5946720573523</v>
      </c>
      <c r="Q35" s="39" t="n">
        <v>106.9043500155949</v>
      </c>
      <c r="R35" s="8" t="n">
        <v>104.7224139660547</v>
      </c>
      <c r="S35" s="95" t="n"/>
      <c r="T35" s="6" t="n">
        <v>100.62</v>
      </c>
      <c r="U35" s="6" t="n">
        <v>100.62</v>
      </c>
      <c r="V35" s="6" t="n">
        <v>100.62</v>
      </c>
      <c r="W35" s="6" t="n">
        <v>100.62</v>
      </c>
      <c r="X35" s="6" t="n">
        <v>100.62</v>
      </c>
      <c r="Y35" s="6" t="n">
        <v>100.62</v>
      </c>
      <c r="Z35" s="6" t="n">
        <v>100.62</v>
      </c>
      <c r="AA35" s="6" t="n">
        <v>100.62</v>
      </c>
      <c r="AB35" s="6" t="n">
        <v>100.62</v>
      </c>
      <c r="AC35" s="6" t="n">
        <v>100.62</v>
      </c>
      <c r="AD35" s="6" t="n">
        <v>100.62</v>
      </c>
      <c r="AE35" s="6" t="n">
        <v>100.62</v>
      </c>
      <c r="AF35" s="6" t="n">
        <v>100.62</v>
      </c>
      <c r="AG35" s="6" t="n">
        <v>100.62</v>
      </c>
      <c r="AH35" s="6" t="n">
        <v>100.62</v>
      </c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5" t="n"/>
      <c r="BD35" s="40" t="n">
        <v>45536</v>
      </c>
      <c r="BE35" t="n">
        <v>0.62</v>
      </c>
      <c r="BH35">
        <f>BE35+$BG$3</f>
        <v/>
      </c>
    </row>
    <row r="36">
      <c r="A36" s="49" t="n">
        <v>45566</v>
      </c>
      <c r="B36" s="53">
        <f>E36-0.5</f>
        <v/>
      </c>
      <c r="C36" s="53" t="n"/>
      <c r="D36" s="53" t="n"/>
      <c r="E36" s="55" t="n">
        <v>101.02</v>
      </c>
      <c r="F36" s="53" t="n">
        <v>107.49</v>
      </c>
      <c r="G36" s="53" t="n">
        <v>101.02</v>
      </c>
      <c r="H36" s="53" t="n"/>
      <c r="I36" s="5">
        <f>AVERAGE($E34:$E36)^12/100^11-100</f>
        <v/>
      </c>
      <c r="J36" s="39" t="n">
        <v>101.02</v>
      </c>
      <c r="K36" s="125">
        <f>E36-J36</f>
        <v/>
      </c>
      <c r="L36" s="39" t="n">
        <v>107.49</v>
      </c>
      <c r="M36" s="8">
        <f>F36-L36</f>
        <v/>
      </c>
      <c r="N36" s="58" t="n">
        <v>101.02</v>
      </c>
      <c r="O36" s="98" t="n"/>
      <c r="P36" s="39" t="n">
        <v>100.4828909722286</v>
      </c>
      <c r="Q36" s="39" t="n">
        <v>106.9287094074655</v>
      </c>
      <c r="R36" s="8" t="n">
        <v>104.5642448507802</v>
      </c>
      <c r="S36" s="95" t="n"/>
      <c r="T36" s="6" t="n">
        <v>101.02</v>
      </c>
      <c r="U36" s="6" t="n">
        <v>101.02</v>
      </c>
      <c r="V36" s="6" t="n">
        <v>101.02</v>
      </c>
      <c r="W36" s="6" t="n">
        <v>101.02</v>
      </c>
      <c r="X36" s="6" t="n">
        <v>101.02</v>
      </c>
      <c r="Y36" s="6" t="n">
        <v>101.02</v>
      </c>
      <c r="Z36" s="6" t="n">
        <v>101.02</v>
      </c>
      <c r="AA36" s="6" t="n">
        <v>101.02</v>
      </c>
      <c r="AB36" s="6" t="n">
        <v>101.02</v>
      </c>
      <c r="AC36" s="6" t="n">
        <v>101.02</v>
      </c>
      <c r="AD36" s="6" t="n">
        <v>101.02</v>
      </c>
      <c r="AE36" s="6" t="n">
        <v>101.02</v>
      </c>
      <c r="AF36" s="6" t="n">
        <v>101.02</v>
      </c>
      <c r="AG36" s="6" t="n">
        <v>101.02</v>
      </c>
      <c r="AH36" s="6" t="n">
        <v>101.02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5" t="n"/>
      <c r="BD36" s="5" t="n"/>
    </row>
    <row r="37">
      <c r="A37" s="64" t="n">
        <v>45597</v>
      </c>
      <c r="B37" s="65">
        <f>E37-0.5</f>
        <v/>
      </c>
      <c r="C37" s="65" t="n"/>
      <c r="D37" s="65" t="n"/>
      <c r="E37" s="66" t="n">
        <v>101.5</v>
      </c>
      <c r="F37" s="65" t="n">
        <v>108.31</v>
      </c>
      <c r="G37" s="65" t="n">
        <v>101.5</v>
      </c>
      <c r="H37" s="65" t="n"/>
      <c r="I37" s="5">
        <f>AVERAGE($E35:$E37)^12/100^11-100</f>
        <v/>
      </c>
      <c r="J37" s="39" t="n">
        <v>101.5</v>
      </c>
      <c r="K37" s="125">
        <f>E37-J37</f>
        <v/>
      </c>
      <c r="L37" s="39" t="n">
        <v>108.31</v>
      </c>
      <c r="M37" s="8">
        <f>F37-L37</f>
        <v/>
      </c>
      <c r="N37" s="58" t="n">
        <v>101.5</v>
      </c>
      <c r="O37" s="98" t="n"/>
      <c r="P37" s="39" t="n">
        <v>101.3634882922335</v>
      </c>
      <c r="Q37" s="39" t="n">
        <v>108.1654885700025</v>
      </c>
      <c r="R37" s="8" t="n">
        <v>104.0007701321658</v>
      </c>
      <c r="S37" s="95" t="n"/>
      <c r="T37" s="94" t="n">
        <v>101.5</v>
      </c>
      <c r="U37" s="94" t="n">
        <v>101.5</v>
      </c>
      <c r="V37" s="94" t="n">
        <v>101.5</v>
      </c>
      <c r="W37" s="94" t="n">
        <v>101.5</v>
      </c>
      <c r="X37" s="94" t="n">
        <v>101.5</v>
      </c>
      <c r="Y37" s="94" t="n">
        <v>101.5</v>
      </c>
      <c r="Z37" s="94" t="n">
        <v>101.5</v>
      </c>
      <c r="AA37" s="94" t="n">
        <v>101.5</v>
      </c>
      <c r="AB37" s="94" t="n">
        <v>101.5</v>
      </c>
      <c r="AC37" s="94" t="n">
        <v>101.5</v>
      </c>
      <c r="AD37" s="94" t="n">
        <v>101.5</v>
      </c>
      <c r="AE37" s="94" t="n">
        <v>101.5</v>
      </c>
      <c r="AF37" s="94" t="n">
        <v>101.5</v>
      </c>
      <c r="AG37" s="94" t="n">
        <v>101.5</v>
      </c>
      <c r="AH37" s="94" t="n">
        <v>101.5</v>
      </c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5" t="n"/>
      <c r="BD37" s="8" t="n"/>
    </row>
    <row r="38">
      <c r="A38" s="49" t="n">
        <v>45627</v>
      </c>
      <c r="B38" s="57" t="n"/>
      <c r="C38" s="57" t="n"/>
      <c r="D38" s="57" t="n"/>
      <c r="E38" s="55" t="n">
        <v>100.91</v>
      </c>
      <c r="F38" s="53" t="n">
        <v>108.98</v>
      </c>
      <c r="G38" s="62" t="n">
        <v>100.91</v>
      </c>
      <c r="H38" s="57" t="n"/>
      <c r="I38" s="53">
        <f>AVERAGE($E36:$E38)^12/100^11-100</f>
        <v/>
      </c>
      <c r="J38" s="67" t="n">
        <v>100.91</v>
      </c>
      <c r="K38" s="125">
        <f>E38-J38</f>
        <v/>
      </c>
      <c r="L38" s="39" t="n">
        <v>108.98</v>
      </c>
      <c r="M38" s="8">
        <f>F38-L38</f>
        <v/>
      </c>
      <c r="N38" s="58" t="n">
        <v>100.91</v>
      </c>
      <c r="O38" s="98" t="n"/>
      <c r="P38" s="39" t="n">
        <v>100.5526194980838</v>
      </c>
      <c r="Q38" s="39" t="n">
        <v>108.4487308306291</v>
      </c>
      <c r="R38" s="8" t="n">
        <v>103.8159866534011</v>
      </c>
      <c r="S38" s="95" t="n"/>
      <c r="T38" s="94" t="n">
        <v>100.91</v>
      </c>
      <c r="U38" s="94" t="n">
        <v>100.91</v>
      </c>
      <c r="V38" s="94" t="n">
        <v>100.91</v>
      </c>
      <c r="W38" s="94" t="n">
        <v>100.91</v>
      </c>
      <c r="X38" s="94" t="n">
        <v>100.91</v>
      </c>
      <c r="Y38" s="94" t="n">
        <v>100.91</v>
      </c>
      <c r="Z38" s="94" t="n">
        <v>100.91</v>
      </c>
      <c r="AA38" s="94" t="n">
        <v>100.91</v>
      </c>
      <c r="AB38" s="94" t="n">
        <v>100.91</v>
      </c>
      <c r="AC38" s="94" t="n">
        <v>100.91</v>
      </c>
      <c r="AD38" s="94" t="n">
        <v>100.91</v>
      </c>
      <c r="AE38" s="94" t="n">
        <v>100.91</v>
      </c>
      <c r="AF38" s="94" t="n">
        <v>100.91</v>
      </c>
      <c r="AG38" s="94" t="n">
        <v>100.91</v>
      </c>
      <c r="AH38" s="94" t="n">
        <v>100.91</v>
      </c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5" t="inlineStr">
        <is>
          <t>4-4,5</t>
        </is>
      </c>
      <c r="BD38" s="8" t="n"/>
    </row>
    <row r="39">
      <c r="A39" s="59" t="n">
        <v>45658</v>
      </c>
      <c r="B39" s="55" t="n"/>
      <c r="C39" s="55" t="n"/>
      <c r="D39" s="55" t="n"/>
      <c r="E39" s="55" t="n">
        <v>100.84</v>
      </c>
      <c r="F39" s="55" t="n">
        <v>108.95</v>
      </c>
      <c r="G39" s="62" t="n">
        <v>100.65</v>
      </c>
      <c r="H39" s="62">
        <f>ROUND(PRODUCT(G28:G39)/100^11,2)</f>
        <v/>
      </c>
      <c r="I39" s="55">
        <f>AVERAGE($E37:$E39)^12/100^11-100</f>
        <v/>
      </c>
      <c r="J39" s="67" t="n">
        <v>100.84</v>
      </c>
      <c r="K39" s="125" t="n"/>
      <c r="L39" s="39" t="n">
        <v>108.95</v>
      </c>
      <c r="M39" s="8">
        <f>F39-L39</f>
        <v/>
      </c>
      <c r="N39" s="58" t="n">
        <v>100.84</v>
      </c>
      <c r="O39" s="98" t="n"/>
      <c r="P39" s="39" t="n">
        <v>101.43</v>
      </c>
      <c r="Q39" s="39" t="n">
        <v>109.59</v>
      </c>
      <c r="R39" s="7" t="n"/>
      <c r="S39" s="94" t="n"/>
      <c r="T39" s="94" t="n">
        <v>100.84</v>
      </c>
      <c r="U39" s="94" t="n">
        <v>100.84</v>
      </c>
      <c r="V39" s="94" t="n">
        <v>100.84</v>
      </c>
      <c r="W39" s="94" t="n">
        <v>100.84</v>
      </c>
      <c r="X39" s="94" t="n">
        <v>100.84</v>
      </c>
      <c r="Y39" s="94" t="n">
        <v>100.84</v>
      </c>
      <c r="Z39" s="94" t="n">
        <v>100.84</v>
      </c>
      <c r="AA39" s="94" t="n">
        <v>100.84</v>
      </c>
      <c r="AB39" s="94" t="n">
        <v>100.84</v>
      </c>
      <c r="AC39" s="94" t="n">
        <v>100.84</v>
      </c>
      <c r="AD39" s="94" t="n">
        <v>100.84</v>
      </c>
      <c r="AE39" s="94" t="n">
        <v>100.84</v>
      </c>
      <c r="AF39" s="94" t="n">
        <v>100.84</v>
      </c>
      <c r="AG39" s="94" t="n">
        <v>100.84</v>
      </c>
      <c r="AH39" s="94" t="n">
        <v>100.84</v>
      </c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17" t="n"/>
    </row>
    <row r="40">
      <c r="A40" s="60" t="n">
        <v>45689</v>
      </c>
      <c r="B40" s="55" t="n"/>
      <c r="C40" s="55" t="n"/>
      <c r="D40" s="55" t="n"/>
      <c r="E40" s="55" t="n">
        <v>101.34</v>
      </c>
      <c r="F40" s="55" t="n">
        <v>109.83</v>
      </c>
      <c r="G40" s="62" t="n">
        <v>100.5</v>
      </c>
      <c r="H40" s="62">
        <f>ROUND(PRODUCT(G29:G40)/100^11,2)</f>
        <v/>
      </c>
      <c r="I40" s="55">
        <f>AVERAGE($E38:$E40)^12/100^11-100</f>
        <v/>
      </c>
      <c r="J40" s="67" t="n">
        <v>101.34</v>
      </c>
      <c r="K40" s="125">
        <f>E40-J40</f>
        <v/>
      </c>
      <c r="L40" s="39" t="n">
        <v>109.83</v>
      </c>
      <c r="M40" s="8">
        <f>F40-L40</f>
        <v/>
      </c>
      <c r="N40" s="58" t="n">
        <v>101.34</v>
      </c>
      <c r="O40" s="98" t="n"/>
      <c r="P40" s="39" t="n">
        <v>100.8493588880288</v>
      </c>
      <c r="Q40" s="39" t="n">
        <v>109.2944379113408</v>
      </c>
      <c r="R40" s="7" t="n"/>
      <c r="S40" s="94" t="n"/>
      <c r="T40" s="94" t="n">
        <v>101.34</v>
      </c>
      <c r="U40" s="94" t="n">
        <v>101.34</v>
      </c>
      <c r="V40" s="94" t="n">
        <v>101.34</v>
      </c>
      <c r="W40" s="94" t="n">
        <v>101.34</v>
      </c>
      <c r="X40" s="94" t="n">
        <v>101.34</v>
      </c>
      <c r="Y40" s="94" t="n">
        <v>101.34</v>
      </c>
      <c r="Z40" s="94" t="n">
        <v>101.34</v>
      </c>
      <c r="AA40" s="94" t="n">
        <v>101.34</v>
      </c>
      <c r="AB40" s="94" t="n">
        <v>101.34</v>
      </c>
      <c r="AC40" s="94" t="n">
        <v>101.34</v>
      </c>
      <c r="AD40" s="94" t="n">
        <v>101.34</v>
      </c>
      <c r="AE40" s="94" t="n">
        <v>101.34</v>
      </c>
      <c r="AF40" s="94" t="n">
        <v>101.34</v>
      </c>
      <c r="AG40" s="94" t="n">
        <v>101.34</v>
      </c>
      <c r="AH40" s="94" t="n">
        <v>101.34</v>
      </c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17" t="n"/>
    </row>
    <row r="41" ht="15" customHeight="1" thickBot="1">
      <c r="A41" s="71" t="n">
        <v>45717</v>
      </c>
      <c r="B41" s="66" t="n"/>
      <c r="C41" s="66" t="n"/>
      <c r="D41" s="66" t="n"/>
      <c r="E41" s="90" t="n">
        <v>100.81</v>
      </c>
      <c r="F41" s="66" t="n">
        <v>110.13</v>
      </c>
      <c r="G41" s="72" t="n">
        <v>100.56</v>
      </c>
      <c r="H41" s="72">
        <f>ROUND(PRODUCT(G30:G41)/100^11,2)</f>
        <v/>
      </c>
      <c r="I41" s="66">
        <f>AVERAGE($E39:$E41)^12/100^11-100</f>
        <v/>
      </c>
      <c r="J41" s="73" t="n">
        <v>100.81</v>
      </c>
      <c r="K41" s="125">
        <f>E41-J41</f>
        <v/>
      </c>
      <c r="L41" s="39" t="n">
        <v>110.13</v>
      </c>
      <c r="M41" s="8">
        <f>F41-L41</f>
        <v/>
      </c>
      <c r="N41" s="58" t="n">
        <v>100.81</v>
      </c>
      <c r="O41" s="98" t="n"/>
      <c r="P41" s="39" t="n">
        <v>100.7927218032588</v>
      </c>
      <c r="Q41" s="39" t="n">
        <v>109.5800644090451</v>
      </c>
      <c r="R41" s="7" t="n"/>
      <c r="S41" s="94" t="n"/>
      <c r="T41" s="94" t="n">
        <v>100.81</v>
      </c>
      <c r="U41" s="94" t="n">
        <v>100.81</v>
      </c>
      <c r="V41" s="94" t="n">
        <v>100.81</v>
      </c>
      <c r="W41" s="94" t="n">
        <v>100.81</v>
      </c>
      <c r="X41" s="94" t="n">
        <v>100.81</v>
      </c>
      <c r="Y41" s="94" t="n">
        <v>100.81</v>
      </c>
      <c r="Z41" s="94" t="n">
        <v>100.81</v>
      </c>
      <c r="AA41" s="94" t="n">
        <v>100.81</v>
      </c>
      <c r="AB41" s="94" t="n">
        <v>100.81</v>
      </c>
      <c r="AC41" s="94" t="n">
        <v>100.81</v>
      </c>
      <c r="AD41" s="94" t="n">
        <v>100.81</v>
      </c>
      <c r="AE41" s="94" t="n">
        <v>100.81</v>
      </c>
      <c r="AF41" s="94" t="n">
        <v>100.81</v>
      </c>
      <c r="AG41" s="94" t="n">
        <v>100.81</v>
      </c>
      <c r="AH41" s="94" t="n">
        <v>100.81</v>
      </c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17" t="n"/>
    </row>
    <row r="42" ht="15" customHeight="1" thickBot="1">
      <c r="A42" s="78" t="n">
        <v>45748</v>
      </c>
      <c r="B42" s="79" t="n"/>
      <c r="C42" s="79" t="n"/>
      <c r="D42" s="79" t="n"/>
      <c r="E42" s="79" t="n">
        <v>100.53</v>
      </c>
      <c r="F42" s="79" t="n">
        <v>110.3</v>
      </c>
      <c r="G42" s="80" t="n">
        <v>100.45</v>
      </c>
      <c r="H42" s="80">
        <f>ROUND(PRODUCT(G31:G42)/100^11,2)</f>
        <v/>
      </c>
      <c r="I42" s="79">
        <f>AVERAGE($E40:$E42)^12/100^11-100</f>
        <v/>
      </c>
      <c r="J42" s="81" t="n">
        <v>100.53</v>
      </c>
      <c r="K42" s="126">
        <f>E42-J42</f>
        <v/>
      </c>
      <c r="L42" s="83" t="n">
        <v>110.3</v>
      </c>
      <c r="M42" s="84">
        <f>F42-L42</f>
        <v/>
      </c>
      <c r="N42" s="85" t="n">
        <v>100.53</v>
      </c>
      <c r="O42" s="99" t="n"/>
      <c r="P42" s="83" t="n">
        <v>100.803140840345</v>
      </c>
      <c r="Q42" s="86" t="n">
        <v>109.9882955147725</v>
      </c>
      <c r="R42" s="7" t="n"/>
      <c r="S42" s="94" t="n"/>
      <c r="T42" s="94" t="n">
        <v>100.53</v>
      </c>
      <c r="U42" s="94" t="n">
        <v>100.53</v>
      </c>
      <c r="V42" s="94" t="n">
        <v>100.53</v>
      </c>
      <c r="W42" s="94" t="n">
        <v>100.53</v>
      </c>
      <c r="X42" s="94" t="n">
        <v>100.53</v>
      </c>
      <c r="Y42" s="94" t="n">
        <v>100.53</v>
      </c>
      <c r="Z42" s="94" t="n">
        <v>100.53</v>
      </c>
      <c r="AA42" s="94" t="n">
        <v>100.53</v>
      </c>
      <c r="AB42" s="94" t="n">
        <v>100.53</v>
      </c>
      <c r="AC42" s="94" t="n">
        <v>100.53</v>
      </c>
      <c r="AD42" s="94" t="n">
        <v>100.53</v>
      </c>
      <c r="AE42" s="94" t="n">
        <v>100.53</v>
      </c>
      <c r="AF42" s="94" t="n">
        <v>100.53</v>
      </c>
      <c r="AG42" s="94" t="n">
        <v>100.53</v>
      </c>
      <c r="AH42" s="94" t="n">
        <v>100.53</v>
      </c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17" t="n"/>
    </row>
    <row r="43">
      <c r="A43" s="74" t="n">
        <v>45778</v>
      </c>
      <c r="B43" s="75" t="n"/>
      <c r="C43" s="75" t="n"/>
      <c r="D43" s="75" t="n"/>
      <c r="E43" s="75" t="n">
        <v>99.93000000000001</v>
      </c>
      <c r="F43" s="75" t="n">
        <v>109.2</v>
      </c>
      <c r="G43" s="76" t="n">
        <v>100.2</v>
      </c>
      <c r="H43" s="76">
        <f>ROUND(PRODUCT(G32:G43)/100^11,2)</f>
        <v/>
      </c>
      <c r="I43" s="75">
        <f>AVERAGE($E41:$E43)^12/100^11-100</f>
        <v/>
      </c>
      <c r="J43" s="77" t="n">
        <v>99.93000000000001</v>
      </c>
      <c r="K43" s="125">
        <f>E43-J43</f>
        <v/>
      </c>
      <c r="L43" s="39" t="n">
        <v>109.2</v>
      </c>
      <c r="M43" s="8">
        <f>F43-L43</f>
        <v/>
      </c>
      <c r="N43" s="58" t="n">
        <v>99.93000000000001</v>
      </c>
      <c r="O43" s="98" t="n"/>
      <c r="P43" s="39" t="n">
        <v>100.3206236345804</v>
      </c>
      <c r="Q43" s="39" t="n">
        <v>109.4705001116511</v>
      </c>
      <c r="R43" s="7" t="n"/>
      <c r="S43" s="94" t="n"/>
      <c r="T43" s="94" t="n">
        <v>99.93000000000001</v>
      </c>
      <c r="U43" s="94" t="n">
        <v>99.93000000000001</v>
      </c>
      <c r="V43" s="94" t="n">
        <v>99.93000000000001</v>
      </c>
      <c r="W43" s="94" t="n">
        <v>99.93000000000001</v>
      </c>
      <c r="X43" s="94" t="n">
        <v>99.93000000000001</v>
      </c>
      <c r="Y43" s="94" t="n">
        <v>99.93000000000001</v>
      </c>
      <c r="Z43" s="94" t="n">
        <v>99.93000000000001</v>
      </c>
      <c r="AA43" s="94" t="n">
        <v>99.93000000000001</v>
      </c>
      <c r="AB43" s="94" t="n">
        <v>99.93000000000001</v>
      </c>
      <c r="AC43" s="94" t="n">
        <v>99.93000000000001</v>
      </c>
      <c r="AD43" s="94" t="n">
        <v>99.93000000000001</v>
      </c>
      <c r="AE43" s="94" t="n">
        <v>99.93000000000001</v>
      </c>
      <c r="AF43" s="94" t="n">
        <v>99.93000000000001</v>
      </c>
      <c r="AG43" s="94" t="n">
        <v>99.93000000000001</v>
      </c>
      <c r="AH43" s="94" t="n">
        <v>99.93000000000001</v>
      </c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17" t="n"/>
    </row>
    <row r="44">
      <c r="A44" s="60" t="n">
        <v>45809</v>
      </c>
      <c r="B44" s="55" t="n"/>
      <c r="C44" s="55">
        <f>E44-100</f>
        <v/>
      </c>
      <c r="D44" s="55">
        <f>F44-100</f>
        <v/>
      </c>
      <c r="E44" s="55" t="n">
        <v>99.95999999999999</v>
      </c>
      <c r="F44" s="55" t="n">
        <v>108.96</v>
      </c>
      <c r="G44" s="62" t="n">
        <v>100.09</v>
      </c>
      <c r="H44" s="62">
        <f>ROUND(PRODUCT(G33:G44)/100^11,2)</f>
        <v/>
      </c>
      <c r="I44" s="55">
        <f>AVERAGE($E42:$E44)^12/100^11-100</f>
        <v/>
      </c>
      <c r="J44" s="67" t="n">
        <v>99.95999999999999</v>
      </c>
      <c r="K44" s="125">
        <f>E44-J44</f>
        <v/>
      </c>
      <c r="L44" s="39" t="n">
        <v>108.96</v>
      </c>
      <c r="M44" s="8">
        <f>F44-L44</f>
        <v/>
      </c>
      <c r="N44" s="58" t="n">
        <v>99.95999999999999</v>
      </c>
      <c r="O44" s="98" t="n"/>
      <c r="P44" s="39" t="n">
        <v>100.1997156010233</v>
      </c>
      <c r="Q44" s="39" t="n">
        <v>109.6101899129054</v>
      </c>
      <c r="R44" s="7" t="n"/>
      <c r="S44" s="94" t="n"/>
      <c r="T44" s="94" t="n">
        <v>100</v>
      </c>
      <c r="U44" s="94" t="n">
        <v>100.26</v>
      </c>
      <c r="V44" s="94" t="n">
        <v>99.73999999999999</v>
      </c>
      <c r="W44" s="94" t="n">
        <v>99.31999999999999</v>
      </c>
      <c r="X44" s="94" t="n">
        <v>99.98999999999999</v>
      </c>
      <c r="Y44" s="94" t="n">
        <v>99.86</v>
      </c>
      <c r="Z44" s="94" t="n">
        <v>100.12</v>
      </c>
      <c r="AA44" s="94" t="n">
        <v>100.03</v>
      </c>
      <c r="AB44" s="94" t="n">
        <v>100.39</v>
      </c>
      <c r="AC44" s="94" t="n">
        <v>100.11</v>
      </c>
      <c r="AD44" s="94" t="n">
        <v>100.06</v>
      </c>
      <c r="AE44" s="94" t="n">
        <v>99.78</v>
      </c>
      <c r="AF44" s="94" t="n">
        <v>100</v>
      </c>
      <c r="AG44" s="94" t="n">
        <v>100.11</v>
      </c>
      <c r="AH44" s="94" t="n">
        <v>100.02</v>
      </c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17" t="n"/>
    </row>
    <row r="45">
      <c r="A45" s="59" t="n">
        <v>45839</v>
      </c>
      <c r="B45" s="55" t="n"/>
      <c r="C45" s="55">
        <f>E45-100</f>
        <v/>
      </c>
      <c r="D45" s="55">
        <f>F45-100</f>
        <v/>
      </c>
      <c r="E45" s="55" t="n">
        <v>100.36</v>
      </c>
      <c r="F45" s="55" t="n">
        <v>108.19</v>
      </c>
      <c r="G45" s="62" t="n">
        <v>101</v>
      </c>
      <c r="H45" s="62">
        <f>ROUND(PRODUCT(G34:G45)/100^11,2)</f>
        <v/>
      </c>
      <c r="I45" s="55">
        <f>AVERAGE($E43:$E45)^12/100^11-100</f>
        <v/>
      </c>
      <c r="J45" s="67" t="n">
        <v>100.9</v>
      </c>
      <c r="K45" s="125">
        <f>E45-J45</f>
        <v/>
      </c>
      <c r="L45" s="39" t="n">
        <v>108.77</v>
      </c>
      <c r="M45" s="8">
        <f>F45-L45</f>
        <v/>
      </c>
      <c r="N45" s="58" t="n">
        <v>100.36</v>
      </c>
      <c r="O45" s="98" t="n"/>
      <c r="P45" s="39" t="n">
        <v>100.2585666821701</v>
      </c>
      <c r="Q45" s="39" t="n">
        <v>108.7806611239665</v>
      </c>
      <c r="R45" s="5" t="n"/>
      <c r="S45" s="23" t="n"/>
      <c r="T45" s="94" t="n">
        <v>100.09</v>
      </c>
      <c r="U45" s="94" t="n">
        <v>100.44</v>
      </c>
      <c r="V45" s="94" t="n">
        <v>99.70999999999999</v>
      </c>
      <c r="W45" s="94" t="n">
        <v>99.62</v>
      </c>
      <c r="X45" s="94" t="n">
        <v>100.13</v>
      </c>
      <c r="Y45" s="94" t="n">
        <v>100.18</v>
      </c>
      <c r="Z45" s="94" t="n">
        <v>100.13</v>
      </c>
      <c r="AA45" s="94" t="n">
        <v>100.48</v>
      </c>
      <c r="AB45" s="94" t="n">
        <v>100.51</v>
      </c>
      <c r="AC45" s="94" t="n">
        <v>99.90000000000001</v>
      </c>
      <c r="AD45" s="94" t="n">
        <v>100.32</v>
      </c>
      <c r="AE45" s="94" t="n">
        <v>99.98999999999999</v>
      </c>
      <c r="AF45" s="94" t="n">
        <v>100.11</v>
      </c>
      <c r="AG45" s="94" t="n">
        <v>100.05</v>
      </c>
      <c r="AH45" s="94" t="n">
        <v>99.95999999999999</v>
      </c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</row>
    <row r="46">
      <c r="A46" s="60" t="n">
        <v>45870</v>
      </c>
      <c r="B46" s="55" t="n"/>
      <c r="C46" s="55" t="n">
        <v>0.1</v>
      </c>
      <c r="D46" s="55">
        <f>F46-100</f>
        <v/>
      </c>
      <c r="E46" s="107" t="n">
        <v>99.43000000000001</v>
      </c>
      <c r="F46" s="55" t="n">
        <v>107.48</v>
      </c>
      <c r="G46" s="62" t="n">
        <v>99.93000000000001</v>
      </c>
      <c r="H46" s="62">
        <f>ROUND(PRODUCT(G35:G46)/100^11,2)</f>
        <v/>
      </c>
      <c r="I46" s="55">
        <f>AVERAGE($E44:$E46)^12/100^11-100</f>
        <v/>
      </c>
      <c r="J46" s="67" t="n">
        <v>100.2</v>
      </c>
      <c r="K46" s="125">
        <f>E46-J46</f>
        <v/>
      </c>
      <c r="L46" s="39" t="n">
        <v>108.89</v>
      </c>
      <c r="M46" s="8">
        <f>F46-L46</f>
        <v/>
      </c>
      <c r="N46" s="58" t="n">
        <v>100.114016670171</v>
      </c>
      <c r="O46" s="58">
        <f>ROUND(PRODUCT(N35:N46)/100^11,2)</f>
        <v/>
      </c>
      <c r="P46" s="39" t="n">
        <v>100.2819781817562</v>
      </c>
      <c r="Q46" s="39" t="n">
        <v>108.9786268022311</v>
      </c>
      <c r="R46" s="5" t="n"/>
      <c r="S46" s="23" t="n"/>
      <c r="T46" s="94" t="n">
        <v>99.95999999999999</v>
      </c>
      <c r="U46" s="94" t="n">
        <v>100.04</v>
      </c>
      <c r="V46" s="94" t="n">
        <v>99.64</v>
      </c>
      <c r="W46" s="94" t="n">
        <v>99.62</v>
      </c>
      <c r="X46" s="94" t="n">
        <v>99.98999999999999</v>
      </c>
      <c r="Y46" s="94" t="n">
        <v>99.98</v>
      </c>
      <c r="Z46" s="94" t="n">
        <v>100.05</v>
      </c>
      <c r="AA46" s="94" t="n">
        <v>100.04</v>
      </c>
      <c r="AB46" s="94" t="n">
        <v>100.19</v>
      </c>
      <c r="AC46" s="94" t="n">
        <v>99.92</v>
      </c>
      <c r="AD46" s="94" t="n">
        <v>100.99</v>
      </c>
      <c r="AE46" s="94" t="n">
        <v>100.1</v>
      </c>
      <c r="AF46" s="94" t="n">
        <v>99.95</v>
      </c>
      <c r="AG46" s="94" t="n">
        <v>99.81</v>
      </c>
      <c r="AH46" s="94" t="n">
        <v>100.15</v>
      </c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</row>
    <row r="47">
      <c r="A47" s="59" t="n">
        <v>45901</v>
      </c>
      <c r="B47" s="55" t="n"/>
      <c r="C47" s="55">
        <f>E47-100</f>
        <v/>
      </c>
      <c r="D47" s="55">
        <f>F47-100</f>
        <v/>
      </c>
      <c r="E47" s="104" t="n">
        <v>101</v>
      </c>
      <c r="F47" s="55">
        <f>ROUND(PRODUCT(E36:E47)/100^11,2)</f>
        <v/>
      </c>
      <c r="G47" s="62" t="n">
        <v>100.2</v>
      </c>
      <c r="H47" s="62">
        <f>ROUND(PRODUCT(G36:G47)/100^11,2)</f>
        <v/>
      </c>
      <c r="I47" s="55">
        <f>AVERAGE($E45:$E47)^12/100^11-100</f>
        <v/>
      </c>
      <c r="J47" s="67" t="n">
        <v>100.35</v>
      </c>
      <c r="K47" s="125">
        <f>E47-J47</f>
        <v/>
      </c>
      <c r="L47" s="39" t="n">
        <v>108.6</v>
      </c>
      <c r="M47" s="8">
        <f>F47-L47</f>
        <v/>
      </c>
      <c r="N47" s="58" t="n">
        <v>100.7567880690051</v>
      </c>
      <c r="O47" s="58">
        <f>ROUND(PRODUCT(N36:N47)/100^11,2)</f>
        <v/>
      </c>
      <c r="P47" s="39" t="n">
        <v>100.8702487682733</v>
      </c>
      <c r="Q47" s="39" t="n">
        <v>109.1718593558456</v>
      </c>
      <c r="R47" s="5" t="n"/>
      <c r="S47" s="23" t="n"/>
      <c r="T47" s="94" t="n">
        <v>100.35</v>
      </c>
      <c r="U47" s="94" t="n">
        <v>100.41</v>
      </c>
      <c r="V47" s="94" t="n">
        <v>99.88</v>
      </c>
      <c r="W47" s="94" t="n">
        <v>100.2</v>
      </c>
      <c r="X47" s="94" t="n">
        <v>100.46</v>
      </c>
      <c r="Y47" s="94" t="n">
        <v>100.49</v>
      </c>
      <c r="Z47" s="94" t="n">
        <v>100.46</v>
      </c>
      <c r="AA47" s="94" t="n">
        <v>100.44</v>
      </c>
      <c r="AB47" s="94" t="n">
        <v>100.58</v>
      </c>
      <c r="AC47" s="94" t="n">
        <v>100.02</v>
      </c>
      <c r="AD47" s="94" t="n">
        <v>100.84</v>
      </c>
      <c r="AE47" s="94" t="n">
        <v>100.61</v>
      </c>
      <c r="AF47" s="94" t="n">
        <v>100.39</v>
      </c>
      <c r="AG47" s="94" t="n">
        <v>100.29</v>
      </c>
      <c r="AH47" s="94" t="n">
        <v>100.52</v>
      </c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</row>
    <row r="48">
      <c r="A48" s="60" t="n">
        <v>45931</v>
      </c>
      <c r="B48" s="55" t="n"/>
      <c r="C48" s="55">
        <f>E48-100</f>
        <v/>
      </c>
      <c r="D48" s="55">
        <f>F48-100</f>
        <v/>
      </c>
      <c r="E48" s="97" t="n">
        <v>100.53</v>
      </c>
      <c r="F48" s="55">
        <f>ROUND(PRODUCT(E37:E48)/100^11,2)</f>
        <v/>
      </c>
      <c r="G48" s="62" t="n">
        <v>100.48</v>
      </c>
      <c r="H48" s="62">
        <f>ROUND(PRODUCT(G37:G48)/100^11,2)</f>
        <v/>
      </c>
      <c r="I48" s="55">
        <f>AVERAGE($E46:$E48)^12/100^11-100</f>
        <v/>
      </c>
      <c r="J48" s="67" t="n">
        <v>100.58</v>
      </c>
      <c r="K48" s="125">
        <f>E48-J48</f>
        <v/>
      </c>
      <c r="L48" s="39" t="n">
        <v>107.41</v>
      </c>
      <c r="M48" s="8">
        <f>F48-L48</f>
        <v/>
      </c>
      <c r="N48" s="58" t="n">
        <v>100.7796328600384</v>
      </c>
      <c r="O48" s="58">
        <f>ROUND(PRODUCT(N37:N48)/100^11,2)</f>
        <v/>
      </c>
      <c r="P48" s="39" t="n">
        <v>100.9314597750646</v>
      </c>
      <c r="Q48" s="39" t="n">
        <v>108.9418679226131</v>
      </c>
      <c r="R48" s="5" t="n"/>
      <c r="S48" s="23" t="n"/>
      <c r="T48" s="94" t="n">
        <v>100.5</v>
      </c>
      <c r="U48" s="94" t="n">
        <v>100.57</v>
      </c>
      <c r="V48" s="94" t="n">
        <v>100.08</v>
      </c>
      <c r="W48" s="94" t="n">
        <v>100.42</v>
      </c>
      <c r="X48" s="94" t="n">
        <v>100.6</v>
      </c>
      <c r="Y48" s="94" t="n">
        <v>100.62</v>
      </c>
      <c r="Z48" s="94" t="n">
        <v>100.57</v>
      </c>
      <c r="AA48" s="94" t="n">
        <v>100.57</v>
      </c>
      <c r="AB48" s="94" t="n">
        <v>100.86</v>
      </c>
      <c r="AC48" s="94" t="n">
        <v>100.2</v>
      </c>
      <c r="AD48" s="94" t="n">
        <v>100.7</v>
      </c>
      <c r="AE48" s="94" t="n">
        <v>100.61</v>
      </c>
      <c r="AF48" s="94" t="n">
        <v>100.52</v>
      </c>
      <c r="AG48" s="94" t="n">
        <v>100.45</v>
      </c>
      <c r="AH48" s="94" t="n">
        <v>100.53</v>
      </c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</row>
    <row r="49" ht="15" customHeight="1" thickBot="1">
      <c r="A49" s="71" t="n">
        <v>45962</v>
      </c>
      <c r="B49" s="66" t="n"/>
      <c r="C49" s="55">
        <f>E49-100</f>
        <v/>
      </c>
      <c r="D49" s="55">
        <f>F49-100</f>
        <v/>
      </c>
      <c r="E49" s="105" t="n">
        <v>100.2</v>
      </c>
      <c r="F49" s="66">
        <f>ROUND(PRODUCT(E38:E49)/100^11,2)</f>
        <v/>
      </c>
      <c r="G49" s="72" t="n">
        <v>100.35</v>
      </c>
      <c r="H49" s="72">
        <f>ROUND(PRODUCT(G38:G49)/100^11,2)</f>
        <v/>
      </c>
      <c r="I49" s="66">
        <f>AVERAGE($E47:$E49)^12/100^11-100</f>
        <v/>
      </c>
      <c r="J49" s="73" t="n">
        <v>100.55</v>
      </c>
      <c r="K49" s="125">
        <f>E49-J49</f>
        <v/>
      </c>
      <c r="L49" s="39" t="n">
        <v>106.41</v>
      </c>
      <c r="M49" s="8">
        <f>F49-L49</f>
        <v/>
      </c>
      <c r="N49" s="58" t="n">
        <v>101.0208978534157</v>
      </c>
      <c r="O49" s="58">
        <f>ROUND(PRODUCT(N38:N49)/100^11,2)</f>
        <v/>
      </c>
      <c r="P49" s="39" t="n">
        <v>101.0187702057381</v>
      </c>
      <c r="Q49" s="39" t="n">
        <v>108.3225433502021</v>
      </c>
      <c r="R49" s="5" t="inlineStr">
        <is>
          <t>Доклад 07.25</t>
        </is>
      </c>
      <c r="S49" s="23" t="n"/>
      <c r="T49" s="9" t="n">
        <v>100.57</v>
      </c>
      <c r="U49" s="9" t="n">
        <v>100.63</v>
      </c>
      <c r="V49" s="9" t="n">
        <v>100.11</v>
      </c>
      <c r="W49" s="9" t="n">
        <v>100.43</v>
      </c>
      <c r="X49" s="9" t="n">
        <v>100.67</v>
      </c>
      <c r="Y49" s="9" t="n">
        <v>100.67</v>
      </c>
      <c r="Z49" s="9" t="n">
        <v>100.68</v>
      </c>
      <c r="AA49" s="9" t="n">
        <v>100.73</v>
      </c>
      <c r="AB49" s="9" t="n">
        <v>100.97</v>
      </c>
      <c r="AC49" s="9" t="n">
        <v>100.08</v>
      </c>
      <c r="AD49" s="9" t="n">
        <v>101.47</v>
      </c>
      <c r="AE49" s="9" t="n">
        <v>100.14</v>
      </c>
      <c r="AF49" s="9" t="n">
        <v>100.56</v>
      </c>
      <c r="AG49" s="9" t="n">
        <v>100.52</v>
      </c>
      <c r="AH49" s="9" t="n">
        <v>100.52</v>
      </c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</row>
    <row r="50" ht="15" customHeight="1" thickBot="1">
      <c r="A50" s="78" t="n">
        <v>45992</v>
      </c>
      <c r="B50" s="79" t="n"/>
      <c r="C50" s="55">
        <f>E50-100</f>
        <v/>
      </c>
      <c r="D50" s="55">
        <f>F50-100</f>
        <v/>
      </c>
      <c r="E50" s="106" t="n">
        <v>100.65</v>
      </c>
      <c r="F50" s="79">
        <f>ROUND(PRODUCT(E39:E50)/100^11,2)</f>
        <v/>
      </c>
      <c r="G50" s="80" t="n">
        <v>100.3</v>
      </c>
      <c r="H50" s="80">
        <f>ROUND(PRODUCT(G39:G50)/100^11,2)</f>
        <v/>
      </c>
      <c r="I50" s="79">
        <f>AVERAGE($E48:$E50)^12/100^11-100</f>
        <v/>
      </c>
      <c r="J50" s="81" t="n">
        <v>100.6</v>
      </c>
      <c r="K50" s="126">
        <f>E50-J50</f>
        <v/>
      </c>
      <c r="L50" s="88" t="n">
        <v>106.08</v>
      </c>
      <c r="M50" s="84">
        <f>F50-L50</f>
        <v/>
      </c>
      <c r="N50" s="85" t="n">
        <v>100.940717116917</v>
      </c>
      <c r="O50" s="85">
        <f>ROUND(PRODUCT(N39:N50)/100^11,2)</f>
        <v/>
      </c>
      <c r="P50" s="83" t="n">
        <v>100.8023995095487</v>
      </c>
      <c r="Q50" s="86" t="n">
        <v>108.2791564717212</v>
      </c>
      <c r="R50" s="103" t="n">
        <v>106.2</v>
      </c>
      <c r="S50" s="23" t="n"/>
      <c r="T50" s="94" t="n">
        <v>100.62</v>
      </c>
      <c r="U50" s="94" t="n">
        <v>100.58</v>
      </c>
      <c r="V50" s="94" t="n">
        <v>100.14</v>
      </c>
      <c r="W50" s="94" t="n">
        <v>100.32</v>
      </c>
      <c r="X50" s="94" t="n">
        <v>100.71</v>
      </c>
      <c r="Y50" s="94" t="n">
        <v>100.8</v>
      </c>
      <c r="Z50" s="94" t="n">
        <v>100.41</v>
      </c>
      <c r="AA50" s="94" t="n">
        <v>100.67</v>
      </c>
      <c r="AB50" s="94" t="n">
        <v>101.06</v>
      </c>
      <c r="AC50" s="94" t="n">
        <v>100.63</v>
      </c>
      <c r="AD50" s="94" t="n">
        <v>103.44</v>
      </c>
      <c r="AE50" s="94" t="n">
        <v>100.39</v>
      </c>
      <c r="AF50" s="94" t="n">
        <v>100.6</v>
      </c>
      <c r="AG50" s="94" t="n">
        <v>100.59</v>
      </c>
      <c r="AH50" s="94" t="n">
        <v>100.71</v>
      </c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>
        <v>4</v>
      </c>
      <c r="BD50" s="5" t="n"/>
    </row>
    <row r="51">
      <c r="A51" s="74" t="n">
        <v>46023</v>
      </c>
      <c r="B51" s="87" t="n"/>
      <c r="C51" s="55">
        <f>E51-100</f>
        <v/>
      </c>
      <c r="D51" s="55">
        <f>F51-100</f>
        <v/>
      </c>
      <c r="E51" s="75" t="n">
        <v>100.65</v>
      </c>
      <c r="F51" s="75">
        <f>ROUND(PRODUCT(E40:E51)/100^11,2)</f>
        <v/>
      </c>
      <c r="G51" s="76" t="n">
        <v>100.516935880387</v>
      </c>
      <c r="H51" s="76">
        <f>ROUND(PRODUCT(G40:G51)/100^11,2)</f>
        <v/>
      </c>
      <c r="I51" s="87" t="n"/>
      <c r="J51" s="77" t="n">
        <v>100.55</v>
      </c>
      <c r="L51" s="39" t="n">
        <v>105.77</v>
      </c>
      <c r="M51" s="31" t="n"/>
      <c r="N51" s="58" t="n">
        <v>100.855209222022</v>
      </c>
      <c r="O51" s="58">
        <f>ROUND(PRODUCT(N40:N51)/100^11,2)</f>
        <v/>
      </c>
      <c r="P51" s="31" t="n">
        <v>100.9209480839163</v>
      </c>
      <c r="Q51" s="31" t="n">
        <v>108.0760234212276</v>
      </c>
      <c r="T51" s="94" t="n">
        <v>100.69</v>
      </c>
      <c r="U51" s="94" t="n">
        <v>100.49</v>
      </c>
      <c r="V51" s="94" t="n">
        <v>100.28</v>
      </c>
      <c r="W51" s="94" t="n">
        <v>100.31</v>
      </c>
      <c r="X51" s="94" t="n">
        <v>100.67</v>
      </c>
      <c r="Y51" s="94" t="n">
        <v>101.02</v>
      </c>
      <c r="Z51" s="94" t="n">
        <v>100.79</v>
      </c>
      <c r="AA51" s="94" t="n">
        <v>100.93</v>
      </c>
      <c r="AB51" s="94" t="n">
        <v>100.96</v>
      </c>
      <c r="AC51" s="94" t="n">
        <v>100.78</v>
      </c>
      <c r="AD51" s="94" t="n">
        <v>102.57</v>
      </c>
      <c r="AE51" s="94" t="n">
        <v>100.45</v>
      </c>
      <c r="AF51" s="94" t="n">
        <v>100.39</v>
      </c>
      <c r="AG51" s="94" t="n">
        <v>100.38</v>
      </c>
      <c r="AH51" s="94" t="n">
        <v>100.91</v>
      </c>
    </row>
    <row r="52">
      <c r="A52" s="60" t="n">
        <v>46054</v>
      </c>
      <c r="B52" s="56" t="n"/>
      <c r="C52" s="55">
        <f>E52-100</f>
        <v/>
      </c>
      <c r="D52" s="55">
        <f>F52-100</f>
        <v/>
      </c>
      <c r="E52" s="55" t="n">
        <v>100.68</v>
      </c>
      <c r="F52" s="55">
        <f>ROUND(PRODUCT(E41:E52)/100^11,2)</f>
        <v/>
      </c>
      <c r="G52" s="62" t="n">
        <v>100.43</v>
      </c>
      <c r="H52" s="62">
        <f>ROUND(PRODUCT(G41:G52)/100^11,2)</f>
        <v/>
      </c>
      <c r="I52" s="56" t="n"/>
      <c r="J52" s="67" t="n">
        <v>100.5</v>
      </c>
      <c r="L52" s="39" t="n">
        <v>104.9</v>
      </c>
      <c r="M52" s="31" t="n"/>
      <c r="N52" s="58" t="n">
        <v>100.8293526025094</v>
      </c>
      <c r="O52" s="58">
        <f>ROUND(PRODUCT(N41:N52)/100^11,2)</f>
        <v/>
      </c>
      <c r="P52" s="31" t="n">
        <v>100.830753337566</v>
      </c>
      <c r="Q52" s="31" t="n">
        <v>107.7605490700872</v>
      </c>
      <c r="T52" s="95" t="n">
        <v>100.75</v>
      </c>
      <c r="U52" s="95" t="n">
        <v>100.58</v>
      </c>
      <c r="V52" s="95" t="n">
        <v>100.3</v>
      </c>
      <c r="W52" s="95" t="n">
        <v>100.54</v>
      </c>
      <c r="X52" s="95" t="n">
        <v>100.72</v>
      </c>
      <c r="Y52" s="95" t="n">
        <v>100.88</v>
      </c>
      <c r="Z52" s="95" t="n">
        <v>100.76</v>
      </c>
      <c r="AA52" s="95" t="n">
        <v>100.89</v>
      </c>
      <c r="AB52" s="95" t="n">
        <v>101.04</v>
      </c>
      <c r="AC52" s="95" t="n">
        <v>100.85</v>
      </c>
      <c r="AD52" s="95" t="n">
        <v>100.57</v>
      </c>
      <c r="AE52" s="95" t="n">
        <v>100.75</v>
      </c>
      <c r="AF52" s="95" t="n">
        <v>100.62</v>
      </c>
      <c r="AG52" s="95" t="n">
        <v>100.62</v>
      </c>
      <c r="AH52" s="95" t="n">
        <v>100.82</v>
      </c>
    </row>
    <row r="53">
      <c r="A53" s="59" t="n">
        <v>46082</v>
      </c>
      <c r="B53" s="56" t="n"/>
      <c r="C53" s="55">
        <f>E53-100</f>
        <v/>
      </c>
      <c r="D53" s="55">
        <f>F53-100</f>
        <v/>
      </c>
      <c r="E53" s="55" t="n">
        <v>100.4848647</v>
      </c>
      <c r="F53" s="55">
        <f>ROUND(PRODUCT(E42:E53)/100^11,2)</f>
        <v/>
      </c>
      <c r="G53" s="56" t="n"/>
      <c r="H53" s="56" t="n"/>
      <c r="I53" s="56" t="n"/>
      <c r="J53" s="67" t="n">
        <v>100.4848647</v>
      </c>
      <c r="L53" s="39" t="n">
        <v>104.56</v>
      </c>
      <c r="M53" s="31" t="n"/>
      <c r="N53" s="58" t="n">
        <v>100.6286008192165</v>
      </c>
      <c r="O53" s="58">
        <f>ROUND(PRODUCT(N42:N53)/100^11,2)</f>
        <v/>
      </c>
      <c r="P53" s="31" t="n">
        <v>100.4848647</v>
      </c>
      <c r="Q53" s="31" t="n">
        <v>107.4314097246188</v>
      </c>
      <c r="T53" s="95" t="n">
        <v>100.65</v>
      </c>
      <c r="U53" s="95" t="n">
        <v>100.71</v>
      </c>
      <c r="V53" s="95" t="n">
        <v>100.15</v>
      </c>
      <c r="W53" s="95" t="n">
        <v>100.44</v>
      </c>
      <c r="X53" s="95" t="n">
        <v>100.61</v>
      </c>
      <c r="Y53" s="95" t="n">
        <v>101.03</v>
      </c>
      <c r="Z53" s="95" t="n">
        <v>100.67</v>
      </c>
      <c r="AA53" s="95" t="n">
        <v>101.05</v>
      </c>
      <c r="AB53" s="95" t="n">
        <v>100.94</v>
      </c>
      <c r="AC53" s="95" t="n">
        <v>101.05</v>
      </c>
      <c r="AD53" s="95" t="n">
        <v>99.47</v>
      </c>
      <c r="AE53" s="95" t="n">
        <v>100.59</v>
      </c>
      <c r="AF53" s="95" t="n">
        <v>100.2</v>
      </c>
      <c r="AG53" s="95" t="n">
        <v>100.21</v>
      </c>
      <c r="AH53" s="95" t="n">
        <v>100.65</v>
      </c>
    </row>
    <row r="54">
      <c r="A54" s="60" t="n">
        <v>46113</v>
      </c>
      <c r="B54" s="56" t="n"/>
      <c r="C54" s="55">
        <f>E54-100</f>
        <v/>
      </c>
      <c r="D54" s="55">
        <f>F54-100</f>
        <v/>
      </c>
      <c r="E54" s="55" t="n">
        <v>100.5</v>
      </c>
      <c r="F54" s="55">
        <f>ROUND(PRODUCT(E43:E54)/100^11,2)</f>
        <v/>
      </c>
      <c r="G54" s="56" t="n"/>
      <c r="H54" s="56" t="n"/>
      <c r="I54" s="56" t="n"/>
      <c r="J54" s="67" t="n">
        <v>100.5</v>
      </c>
      <c r="L54" s="39" t="n">
        <v>104.53</v>
      </c>
      <c r="M54" s="31" t="n"/>
      <c r="N54" s="58" t="n">
        <v>100.5890941354649</v>
      </c>
      <c r="O54" s="58">
        <f>ROUND(PRODUCT(N43:N54)/100^11,2)</f>
        <v/>
      </c>
      <c r="P54" s="31" t="n">
        <v>100.6912874</v>
      </c>
      <c r="Q54" s="31" t="n">
        <v>107.3645866459453</v>
      </c>
      <c r="T54" s="95" t="n">
        <v>100.72</v>
      </c>
      <c r="U54" s="95" t="n">
        <v>100.82</v>
      </c>
      <c r="V54" s="95" t="n">
        <v>100.21</v>
      </c>
      <c r="W54" s="95" t="n">
        <v>100.76</v>
      </c>
      <c r="X54" s="95" t="n">
        <v>100.74</v>
      </c>
      <c r="Y54" s="95" t="n">
        <v>100.94</v>
      </c>
      <c r="Z54" s="95" t="n">
        <v>100.71</v>
      </c>
      <c r="AA54" s="95" t="n">
        <v>100.92</v>
      </c>
      <c r="AB54" s="95" t="n">
        <v>101.05</v>
      </c>
      <c r="AC54" s="95" t="n">
        <v>100.73</v>
      </c>
      <c r="AD54" s="95" t="n">
        <v>99.69</v>
      </c>
      <c r="AE54" s="95" t="n">
        <v>100.64</v>
      </c>
      <c r="AF54" s="95" t="n">
        <v>100.48</v>
      </c>
      <c r="AG54" s="95" t="n">
        <v>100.49</v>
      </c>
      <c r="AH54" s="95" t="n">
        <v>100.8</v>
      </c>
    </row>
    <row r="55">
      <c r="A55" s="59" t="n">
        <v>46143</v>
      </c>
      <c r="B55" s="68" t="n"/>
      <c r="C55" s="55">
        <f>E55-100</f>
        <v/>
      </c>
      <c r="D55" s="55">
        <f>F55-100</f>
        <v/>
      </c>
      <c r="E55" s="55" t="n">
        <v>100.2800697</v>
      </c>
      <c r="F55" s="55">
        <f>ROUND(PRODUCT(E44:E55)/100^11,2)</f>
        <v/>
      </c>
      <c r="G55" s="68" t="n"/>
      <c r="H55" s="68" t="n"/>
      <c r="I55" s="68" t="n"/>
      <c r="J55" s="67" t="n">
        <v>100.2800697</v>
      </c>
      <c r="K55" s="89" t="n"/>
      <c r="L55" s="39" t="n">
        <v>104.89</v>
      </c>
      <c r="M55" s="61" t="n"/>
      <c r="N55" s="58" t="n">
        <v>100.2331046640816</v>
      </c>
      <c r="O55" s="58">
        <f>ROUND(PRODUCT(N44:N55)/100^11,2)</f>
        <v/>
      </c>
      <c r="P55" s="63" t="n">
        <v>100.2800697</v>
      </c>
      <c r="Q55" s="63" t="n">
        <v>107.1671676695806</v>
      </c>
      <c r="R55" s="42" t="n"/>
      <c r="S55" s="42" t="n"/>
      <c r="T55" s="95" t="n">
        <v>100.48</v>
      </c>
      <c r="U55" s="95" t="n">
        <v>100.67</v>
      </c>
      <c r="V55" s="95" t="n">
        <v>99.98</v>
      </c>
      <c r="W55" s="95" t="n">
        <v>100.33</v>
      </c>
      <c r="X55" s="95" t="n">
        <v>100.47</v>
      </c>
      <c r="Y55" s="95" t="n">
        <v>100.48</v>
      </c>
      <c r="Z55" s="95" t="n">
        <v>100.44</v>
      </c>
      <c r="AA55" s="95" t="n">
        <v>100.42</v>
      </c>
      <c r="AB55" s="95" t="n">
        <v>100.76</v>
      </c>
      <c r="AC55" s="95" t="n">
        <v>100.81</v>
      </c>
      <c r="AD55" s="95" t="n">
        <v>99.75</v>
      </c>
      <c r="AE55" s="95" t="n">
        <v>100.34</v>
      </c>
      <c r="AF55" s="95" t="n">
        <v>100.39</v>
      </c>
      <c r="AG55" s="95" t="n">
        <v>100.4</v>
      </c>
      <c r="AH55" s="95" t="n">
        <v>100.59</v>
      </c>
      <c r="AI55" s="42" t="n"/>
      <c r="AJ55" s="42" t="n"/>
      <c r="AK55" s="42" t="n"/>
      <c r="AL55" s="42" t="n"/>
      <c r="AM55" s="42" t="n"/>
      <c r="AN55" s="42" t="n"/>
      <c r="AO55" s="42" t="n"/>
      <c r="AP55" s="42" t="n"/>
      <c r="AQ55" s="42" t="n"/>
      <c r="AR55" s="42" t="n"/>
      <c r="AS55" s="42" t="n"/>
      <c r="AT55" s="42" t="n"/>
      <c r="AU55" s="42" t="n"/>
      <c r="AV55" s="42" t="n"/>
      <c r="AW55" s="42" t="n"/>
      <c r="AX55" s="42" t="n"/>
      <c r="AY55" s="42" t="n"/>
      <c r="AZ55" s="42" t="n"/>
      <c r="BA55" s="42" t="n"/>
      <c r="BB55" s="42" t="n"/>
      <c r="BC55" s="42" t="n"/>
      <c r="BD55" s="42" t="n"/>
      <c r="BE55" s="42" t="n"/>
      <c r="BF55" s="42" t="n"/>
      <c r="BG55" s="42" t="n"/>
      <c r="BH55" s="42" t="n"/>
      <c r="BI55" s="42" t="n"/>
      <c r="BJ55" s="42" t="n"/>
      <c r="BK55" s="42" t="n"/>
      <c r="BL55" s="42" t="n"/>
      <c r="BM55" s="42" t="n"/>
      <c r="BN55" s="42" t="n"/>
      <c r="BO55" s="42" t="n"/>
    </row>
    <row r="56">
      <c r="A56" s="60" t="n">
        <v>46174</v>
      </c>
      <c r="B56" s="56" t="n"/>
      <c r="C56" s="55">
        <f>E56-100</f>
        <v/>
      </c>
      <c r="D56" s="55">
        <f>F56-100</f>
        <v/>
      </c>
      <c r="E56" s="55" t="n">
        <v>100.066265</v>
      </c>
      <c r="F56" s="55">
        <f>ROUND(PRODUCT(E45:E56)/100^11,2)</f>
        <v/>
      </c>
      <c r="G56" s="56" t="n"/>
      <c r="H56" s="56" t="n"/>
      <c r="I56" s="56" t="n"/>
      <c r="J56" s="67" t="n">
        <v>100.066265</v>
      </c>
      <c r="K56" s="3" t="n"/>
      <c r="L56" s="39" t="n">
        <v>105</v>
      </c>
      <c r="M56" s="3" t="n"/>
      <c r="N56" s="58" t="n">
        <v>100.124160334806</v>
      </c>
      <c r="O56" s="58">
        <f>ROUND(PRODUCT(N45:N56)/100^11,2)</f>
        <v/>
      </c>
      <c r="P56" s="31" t="n">
        <v>100.066265</v>
      </c>
      <c r="Q56" s="31" t="n">
        <v>106.9090787927774</v>
      </c>
      <c r="S56" s="96" t="n"/>
      <c r="T56" s="96" t="n"/>
      <c r="U56" s="96" t="n"/>
      <c r="V56" s="96" t="n"/>
      <c r="W56" s="96" t="n"/>
      <c r="X56" s="96" t="n"/>
      <c r="Y56" s="96" t="n"/>
      <c r="Z56" s="96" t="n"/>
      <c r="AA56" s="96" t="n"/>
      <c r="AB56" s="96" t="n"/>
      <c r="AC56" s="96" t="n"/>
      <c r="AD56" s="96" t="n"/>
      <c r="AE56" s="96" t="n"/>
      <c r="AF56" s="96" t="n"/>
      <c r="AG56" s="96" t="n"/>
      <c r="AH56" s="96" t="n"/>
      <c r="BM56" s="26" t="n">
        <v>45505</v>
      </c>
      <c r="BN56" s="26" t="n">
        <v>45474</v>
      </c>
      <c r="BO56" s="26" t="n">
        <v>45444</v>
      </c>
      <c r="BP56" s="26" t="n">
        <v>45413</v>
      </c>
      <c r="BQ56" s="26" t="n">
        <v>45383</v>
      </c>
      <c r="BR56" s="26" t="n">
        <v>45352</v>
      </c>
      <c r="BS56" s="26" t="n">
        <v>45323</v>
      </c>
      <c r="BT56" s="26" t="n">
        <v>45292</v>
      </c>
      <c r="BU56" s="26" t="n">
        <v>45261</v>
      </c>
      <c r="BV56" s="26" t="n">
        <v>45231</v>
      </c>
      <c r="BW56" s="26" t="n">
        <v>45200</v>
      </c>
      <c r="BX56" s="26" t="n">
        <v>45170</v>
      </c>
      <c r="BY56" s="26" t="n">
        <v>45139</v>
      </c>
      <c r="BZ56" s="26" t="n">
        <v>45108</v>
      </c>
      <c r="CA56" s="26" t="n">
        <v>45078</v>
      </c>
      <c r="CB56" s="26" t="n">
        <v>45047</v>
      </c>
      <c r="CC56" s="26" t="n">
        <v>45017</v>
      </c>
    </row>
    <row r="57">
      <c r="A57" s="59" t="n">
        <v>46204</v>
      </c>
      <c r="B57" s="69" t="n"/>
      <c r="C57" s="55">
        <f>E57-100</f>
        <v/>
      </c>
      <c r="D57" s="55">
        <f>F57-100</f>
        <v/>
      </c>
      <c r="E57" s="55" t="n">
        <v>100.4</v>
      </c>
      <c r="F57" s="55">
        <f>ROUND(PRODUCT(E46:E57)/100^11,2)</f>
        <v/>
      </c>
      <c r="G57" s="69" t="n"/>
      <c r="H57" s="69" t="n"/>
      <c r="I57" s="69" t="n"/>
      <c r="J57" s="67" t="n">
        <v>100.6</v>
      </c>
      <c r="K57" s="3" t="n"/>
      <c r="L57" s="39" t="n">
        <v>105.26</v>
      </c>
      <c r="N57" s="58" t="n">
        <v>100.0726095912529</v>
      </c>
      <c r="O57" s="58">
        <f>ROUND(PRODUCT(N46:N57)/100^11,2)</f>
        <v/>
      </c>
      <c r="P57" s="31" t="n">
        <v>99.86132169999999</v>
      </c>
      <c r="Q57" s="31" t="n">
        <v>106.4360791307944</v>
      </c>
      <c r="S57" s="96" t="n"/>
      <c r="T57" s="96" t="n"/>
      <c r="U57" s="96" t="n"/>
      <c r="V57" s="96" t="n"/>
      <c r="W57" s="96" t="n"/>
      <c r="X57" s="96" t="n"/>
      <c r="Y57" s="96" t="n"/>
      <c r="Z57" s="96" t="n"/>
      <c r="AA57" s="96" t="n"/>
      <c r="AB57" s="96" t="n"/>
      <c r="AC57" s="96" t="n"/>
      <c r="AD57" s="96" t="n"/>
      <c r="AE57" s="96" t="n"/>
      <c r="AF57" s="96" t="n"/>
      <c r="AG57" s="96" t="n"/>
      <c r="AH57" s="96" t="n"/>
      <c r="BF57" s="19" t="inlineStr">
        <is>
          <t>МоМ</t>
        </is>
      </c>
      <c r="BG57" s="19" t="n"/>
      <c r="BH57" s="19" t="n"/>
      <c r="BI57" s="19" t="n"/>
      <c r="BK57" s="3" t="inlineStr">
        <is>
          <t>МоМ</t>
        </is>
      </c>
      <c r="BL57" s="3" t="n"/>
      <c r="BM57" s="31">
        <f>BF72+100</f>
        <v/>
      </c>
      <c r="BN57" s="3" t="n">
        <v>101.07</v>
      </c>
      <c r="BO57" s="33" t="n">
        <v>100.18</v>
      </c>
      <c r="BP57" s="33" t="n">
        <v>100.94</v>
      </c>
      <c r="BQ57" s="4" t="n">
        <v>100.38</v>
      </c>
      <c r="BR57" s="27" t="n">
        <v>100.53</v>
      </c>
      <c r="BS57" s="3" t="n">
        <v>100.53</v>
      </c>
      <c r="BT57" s="3" t="n">
        <v>100.87</v>
      </c>
      <c r="BU57" s="3" t="n">
        <v>100.29</v>
      </c>
      <c r="BV57" s="3" t="n">
        <v>100.74</v>
      </c>
      <c r="BW57" s="3" t="n">
        <v>100.46</v>
      </c>
      <c r="BX57" s="3" t="n">
        <v>101.75</v>
      </c>
      <c r="BY57" s="3" t="n">
        <v>99.93000000000001</v>
      </c>
      <c r="BZ57" s="3" t="n">
        <v>100.5</v>
      </c>
      <c r="CA57" s="3" t="n">
        <v>100.43</v>
      </c>
      <c r="CB57" s="3" t="n">
        <v>99.75</v>
      </c>
      <c r="CC57" s="3" t="n">
        <v>100.72</v>
      </c>
    </row>
    <row r="58">
      <c r="A58" s="60" t="n">
        <v>46235</v>
      </c>
      <c r="B58" s="69" t="n"/>
      <c r="C58" s="69" t="n"/>
      <c r="D58" s="69" t="n"/>
      <c r="E58" s="70" t="n">
        <v>99.81436459999998</v>
      </c>
      <c r="F58" s="55">
        <f>ROUND(PRODUCT(E47:E58)/100^11,2)</f>
        <v/>
      </c>
      <c r="G58" s="69" t="n"/>
      <c r="H58" s="69" t="n"/>
      <c r="I58" s="69" t="n"/>
      <c r="J58" s="67" t="n">
        <v>99.81436459999998</v>
      </c>
      <c r="K58" s="3" t="n"/>
      <c r="L58" s="39" t="n">
        <v>105.66</v>
      </c>
      <c r="N58" s="58" t="n">
        <v>99.81436459999998</v>
      </c>
      <c r="O58" s="58">
        <f>ROUND(PRODUCT(N47:N58)/100^11,2)</f>
        <v/>
      </c>
      <c r="P58" s="31" t="n">
        <v>99.81436459999998</v>
      </c>
      <c r="Q58" s="31" t="n">
        <v>105.9501528720755</v>
      </c>
      <c r="S58" s="96" t="n"/>
      <c r="T58" s="96" t="n"/>
      <c r="U58" s="96" t="n"/>
      <c r="V58" s="96" t="n"/>
      <c r="W58" s="96" t="n"/>
      <c r="X58" s="96" t="n"/>
      <c r="Y58" s="96" t="n"/>
      <c r="Z58" s="96" t="n"/>
      <c r="AA58" s="96" t="n"/>
      <c r="AB58" s="96" t="n"/>
      <c r="AC58" s="96" t="n"/>
      <c r="AD58" s="96" t="n"/>
      <c r="AE58" s="96" t="n"/>
      <c r="AF58" s="96" t="n"/>
      <c r="AG58" s="96" t="n"/>
      <c r="AH58" s="96" t="n"/>
      <c r="BE58" s="30" t="n">
        <v>40299</v>
      </c>
      <c r="BF58" t="n">
        <v>0.64</v>
      </c>
      <c r="BG58" s="7" t="n"/>
      <c r="BH58" s="7" t="n"/>
      <c r="BI58" s="7" t="n"/>
      <c r="BK58" s="3" t="inlineStr">
        <is>
          <t>3 mma</t>
        </is>
      </c>
      <c r="BL58" s="3" t="n"/>
      <c r="BM58" s="31">
        <f>AVERAGE(BM57:BO57)</f>
        <v/>
      </c>
      <c r="BN58" s="31">
        <f>AVERAGE(BN57:BP57)</f>
        <v/>
      </c>
      <c r="BO58" s="31">
        <f>AVERAGE(BO57:BQ57)</f>
        <v/>
      </c>
      <c r="BP58" s="31">
        <f>AVERAGE(BP57:BR57)</f>
        <v/>
      </c>
      <c r="BQ58" s="31">
        <f>AVERAGE(BQ57:BS57)</f>
        <v/>
      </c>
      <c r="BR58" s="31">
        <f>AVERAGE(BR57:BT57)</f>
        <v/>
      </c>
      <c r="BS58" s="31">
        <f>AVERAGE(BS57:BU57)</f>
        <v/>
      </c>
      <c r="BT58" s="31">
        <f>AVERAGE(BT57:BV57)</f>
        <v/>
      </c>
      <c r="BU58" s="31">
        <f>AVERAGE(BU57:BW57)</f>
        <v/>
      </c>
      <c r="BV58" s="31">
        <f>AVERAGE(BV57:BX57)</f>
        <v/>
      </c>
      <c r="BW58" s="31">
        <f>AVERAGE(BW57:BY57)</f>
        <v/>
      </c>
      <c r="BX58" s="31">
        <f>AVERAGE(BX57:BZ57)</f>
        <v/>
      </c>
      <c r="BY58" s="31">
        <f>AVERAGE(BY57:CA57)</f>
        <v/>
      </c>
      <c r="BZ58" s="31">
        <f>AVERAGE(BZ57:CB57)</f>
        <v/>
      </c>
      <c r="CA58" s="31">
        <f>AVERAGE(CA57:CC57)</f>
        <v/>
      </c>
      <c r="CB58" s="3" t="n"/>
      <c r="CC58" s="3" t="n"/>
    </row>
    <row r="59">
      <c r="A59" s="59" t="n">
        <v>46266</v>
      </c>
      <c r="B59" s="69" t="n"/>
      <c r="C59" s="69" t="n"/>
      <c r="D59" s="69" t="n"/>
      <c r="E59" s="70" t="n">
        <v>100.0715293</v>
      </c>
      <c r="F59" s="55">
        <f>ROUND(PRODUCT(E48:E59)/100^11,2)</f>
        <v/>
      </c>
      <c r="G59" s="69" t="n"/>
      <c r="H59" s="69" t="n"/>
      <c r="I59" s="69" t="n"/>
      <c r="J59" s="67" t="n">
        <v>100.0715293</v>
      </c>
      <c r="K59" s="3" t="n"/>
      <c r="L59" s="39" t="n">
        <v>104.69</v>
      </c>
      <c r="N59" s="58" t="n">
        <v>100.0715293</v>
      </c>
      <c r="O59" s="58">
        <f>ROUND(PRODUCT(N48:N59)/100^11,2)</f>
        <v/>
      </c>
      <c r="P59" s="31" t="n">
        <v>100.0715293</v>
      </c>
      <c r="Q59" s="31" t="n">
        <v>105.1861200102244</v>
      </c>
      <c r="S59" s="96" t="n"/>
      <c r="T59" s="96" t="n"/>
      <c r="U59" s="96" t="n"/>
      <c r="V59" s="96" t="n"/>
      <c r="W59" s="96" t="n"/>
      <c r="X59" s="96">
        <f>100*(1+0.0036)^12</f>
        <v/>
      </c>
      <c r="Y59" s="96" t="n"/>
      <c r="Z59" s="96" t="n"/>
      <c r="AA59" s="96" t="n"/>
      <c r="AB59" s="96" t="n"/>
      <c r="AC59" s="96" t="n"/>
      <c r="AD59" s="96" t="n"/>
      <c r="AE59" s="96" t="n"/>
      <c r="AF59" s="96" t="n"/>
      <c r="AG59" s="96" t="n"/>
      <c r="AH59" s="96" t="n"/>
      <c r="BE59" s="30" t="n">
        <v>40664</v>
      </c>
      <c r="BF59" t="n">
        <v>0.31</v>
      </c>
      <c r="BG59" s="7" t="n"/>
      <c r="BH59" s="7" t="n"/>
      <c r="BI59" s="7" t="n"/>
      <c r="BK59" s="34" t="inlineStr">
        <is>
          <t>3mma ar</t>
        </is>
      </c>
      <c r="BL59" s="34" t="n"/>
      <c r="BM59" s="34" t="n"/>
      <c r="BN59" s="2">
        <f>AVERAGE(BN$57:BP$57)^12/100^11-100</f>
        <v/>
      </c>
      <c r="BO59" s="2">
        <f>AVERAGE(BO$57:BQ$57)^12/100^11-100</f>
        <v/>
      </c>
      <c r="BP59" s="2">
        <f>AVERAGE(BP$57:BR$57)^12/100^11-100</f>
        <v/>
      </c>
      <c r="BQ59" s="2">
        <f>AVERAGE(BQ$57:BS$57)^12/100^11-100</f>
        <v/>
      </c>
      <c r="BR59" s="2">
        <f>AVERAGE(BR$57:BT$57)^12/100^11-100</f>
        <v/>
      </c>
      <c r="BS59" s="2">
        <f>AVERAGE(BS$57:BU$57)^12/100^11-100</f>
        <v/>
      </c>
      <c r="BT59" s="2">
        <f>AVERAGE(BT$57:BV$57)^12/100^11-100</f>
        <v/>
      </c>
      <c r="BU59" s="2">
        <f>AVERAGE(BU$57:BW$57)^12/100^11-100</f>
        <v/>
      </c>
      <c r="BV59" s="2">
        <f>AVERAGE(BV$57:BX$57)^12/100^11-100</f>
        <v/>
      </c>
      <c r="BW59" s="2">
        <f>AVERAGE(BW$57:BY$57)^12/100^11-100</f>
        <v/>
      </c>
      <c r="BX59" s="2">
        <f>AVERAGE(BX$57:BZ$57)^12/100^11-100</f>
        <v/>
      </c>
      <c r="BY59" s="2">
        <f>AVERAGE(BY$57:CA$57)^12/100^11-100</f>
        <v/>
      </c>
      <c r="BZ59" s="2">
        <f>AVERAGE(BZ$57:CB$57)^12/100^11-100</f>
        <v/>
      </c>
      <c r="CA59" s="2">
        <f>AVERAGE(CA$57:CC$57)^12/100^11-100</f>
        <v/>
      </c>
      <c r="CB59" s="2">
        <f>AVERAGE(CB$57:CD$57)^12/100^11-100</f>
        <v/>
      </c>
      <c r="CC59" s="2">
        <f>AVERAGE(CC$57:CE$57)^12/100^11-100</f>
        <v/>
      </c>
    </row>
    <row r="60">
      <c r="A60" s="60" t="n">
        <v>46296</v>
      </c>
      <c r="B60" s="56" t="n"/>
      <c r="C60" s="56" t="n"/>
      <c r="D60" s="56" t="n"/>
      <c r="E60" s="70" t="n">
        <v>100.3</v>
      </c>
      <c r="F60" s="55">
        <f>ROUND(PRODUCT(E49:E60)/100^11,2)</f>
        <v/>
      </c>
      <c r="G60" s="56" t="n"/>
      <c r="H60" s="56" t="n"/>
      <c r="I60" s="56" t="n"/>
      <c r="J60" s="67" t="n">
        <v>100.3</v>
      </c>
      <c r="K60" s="3" t="n"/>
      <c r="L60" s="39" t="n">
        <v>104.4</v>
      </c>
      <c r="M60" s="3" t="n"/>
      <c r="N60" s="58" t="n">
        <v>100.4405103</v>
      </c>
      <c r="O60" s="58">
        <f>ROUND(PRODUCT(N49:N60)/100^11,2)</f>
        <v/>
      </c>
      <c r="P60" s="31" t="n">
        <v>100.4405103</v>
      </c>
      <c r="Q60" s="31" t="n">
        <v>104.8035205290426</v>
      </c>
      <c r="S60" s="96" t="n"/>
      <c r="T60" s="96" t="n"/>
      <c r="U60" s="96" t="n"/>
      <c r="V60" s="96" t="n"/>
      <c r="W60" s="96" t="n"/>
      <c r="X60" s="96" t="n"/>
      <c r="Y60" s="96" t="n"/>
      <c r="Z60" s="96" t="n"/>
      <c r="AA60" s="96" t="n"/>
      <c r="AB60" s="96" t="n"/>
      <c r="AC60" s="96" t="n"/>
      <c r="AD60" s="96" t="n"/>
      <c r="AE60" s="96" t="n"/>
      <c r="AF60" s="96" t="n"/>
      <c r="AG60" s="96" t="n"/>
      <c r="AH60" s="96" t="n"/>
      <c r="BE60" s="30" t="n">
        <v>41030</v>
      </c>
      <c r="BF60" t="n">
        <v>1.32</v>
      </c>
      <c r="BG60" s="7" t="n"/>
      <c r="BH60" s="7" t="n"/>
      <c r="BI60" s="7" t="n"/>
      <c r="BK60" s="3" t="inlineStr">
        <is>
          <t>Непроды</t>
        </is>
      </c>
      <c r="BL60" s="3" t="n"/>
      <c r="BM60" s="3" t="n"/>
      <c r="BN60" s="3" t="n">
        <v>0.95</v>
      </c>
      <c r="BO60" s="3" t="n">
        <v>-0.04</v>
      </c>
      <c r="BP60" s="32" t="n">
        <v>0.41</v>
      </c>
      <c r="BQ60" s="32" t="n">
        <v>0.4</v>
      </c>
      <c r="BR60" s="3" t="n">
        <v>-0.16</v>
      </c>
      <c r="BS60" s="27" t="n">
        <v>0.13</v>
      </c>
      <c r="BT60" s="27" t="n">
        <v>0.23</v>
      </c>
      <c r="BU60" s="27" t="n">
        <v>0.11</v>
      </c>
      <c r="BV60" s="27" t="n">
        <v>0.24</v>
      </c>
      <c r="BW60" s="27" t="n">
        <v>0.21</v>
      </c>
      <c r="BX60" s="27" t="n">
        <v>1.49</v>
      </c>
      <c r="BY60" s="27" t="n">
        <v>0.76</v>
      </c>
      <c r="BZ60" s="27" t="n">
        <v>0.7</v>
      </c>
      <c r="CA60" s="27" t="n">
        <v>0.4</v>
      </c>
      <c r="CB60" s="27" t="n">
        <v>0.79</v>
      </c>
      <c r="CC60" s="27" t="n">
        <v>0.39</v>
      </c>
    </row>
    <row r="61">
      <c r="A61" s="59" t="n">
        <v>46327</v>
      </c>
      <c r="B61" s="56" t="n"/>
      <c r="C61" s="56" t="n"/>
      <c r="D61" s="56" t="n"/>
      <c r="E61" s="70" t="n">
        <v>100.5</v>
      </c>
      <c r="F61" s="55">
        <f>ROUND(PRODUCT(E50:E61)/100^11,2)</f>
        <v/>
      </c>
      <c r="G61" s="56" t="n"/>
      <c r="H61" s="56" t="n"/>
      <c r="I61" s="56" t="n"/>
      <c r="J61" s="67" t="n">
        <v>100.5</v>
      </c>
      <c r="K61" s="3" t="n"/>
      <c r="L61" s="39" t="n">
        <v>104.35</v>
      </c>
      <c r="M61" s="3" t="n"/>
      <c r="N61" s="58" t="n">
        <v>100.5965534</v>
      </c>
      <c r="O61" s="58">
        <f>ROUND(PRODUCT(N50:N61)/100^11,2)</f>
        <v/>
      </c>
      <c r="P61" s="31" t="n">
        <v>100.5965534</v>
      </c>
      <c r="Q61" s="31" t="n">
        <v>104.4645408289713</v>
      </c>
      <c r="S61" s="96" t="n"/>
      <c r="T61" s="96" t="n"/>
      <c r="U61" s="96" t="n"/>
      <c r="V61" s="96" t="n"/>
      <c r="W61" s="96" t="n"/>
      <c r="X61" s="96" t="n"/>
      <c r="Y61" s="96" t="n"/>
      <c r="Z61" s="96" t="n"/>
      <c r="AA61" s="96" t="n"/>
      <c r="AB61" s="96" t="n"/>
      <c r="AC61" s="96" t="n"/>
      <c r="AD61" s="96" t="n"/>
      <c r="AE61" s="96" t="n"/>
      <c r="AF61" s="96" t="n"/>
      <c r="AG61" s="96" t="n"/>
      <c r="AH61" s="96" t="n"/>
      <c r="BE61" s="30" t="n">
        <v>41395</v>
      </c>
      <c r="BF61" t="n">
        <v>1.44</v>
      </c>
      <c r="BG61" s="7" t="n"/>
      <c r="BH61" s="7" t="n"/>
      <c r="BI61" s="7" t="n"/>
      <c r="BK61" s="3" t="inlineStr">
        <is>
          <t>Проды</t>
        </is>
      </c>
      <c r="BL61" s="3" t="n"/>
      <c r="BM61" s="3" t="n"/>
      <c r="BN61" s="3" t="n">
        <v>0.01</v>
      </c>
      <c r="BO61" s="3" t="n">
        <v>0.28</v>
      </c>
      <c r="BP61" s="3" t="n">
        <v>1.58</v>
      </c>
      <c r="BQ61" s="3" t="n">
        <v>0.32</v>
      </c>
      <c r="BR61" s="3" t="n">
        <v>1.15</v>
      </c>
      <c r="BS61" s="27" t="n">
        <v>0.85</v>
      </c>
      <c r="BT61" s="27" t="n">
        <v>1.34</v>
      </c>
      <c r="BU61" s="27" t="n">
        <v>0.84</v>
      </c>
      <c r="BV61" s="27" t="n">
        <v>1.08</v>
      </c>
      <c r="BW61" s="27" t="n">
        <v>0.78</v>
      </c>
      <c r="BX61" s="27" t="n">
        <v>2.56</v>
      </c>
      <c r="BY61" s="27" t="n">
        <v>-0.9399999999999999</v>
      </c>
      <c r="BZ61" s="27" t="n">
        <v>0.41</v>
      </c>
      <c r="CA61" s="27" t="n">
        <v>0.19</v>
      </c>
      <c r="CB61" s="27" t="n">
        <v>-1.47</v>
      </c>
      <c r="CC61" s="27" t="n">
        <v>1.33</v>
      </c>
    </row>
    <row r="62">
      <c r="A62" s="60" t="n">
        <v>46357</v>
      </c>
      <c r="B62" s="56" t="n"/>
      <c r="C62" s="56" t="n"/>
      <c r="D62" s="56" t="n"/>
      <c r="E62" s="70" t="n">
        <v>100.4</v>
      </c>
      <c r="F62" s="55">
        <f>ROUND(PRODUCT(E51:E62)/100^11,2)</f>
        <v/>
      </c>
      <c r="G62" s="56" t="n"/>
      <c r="H62" s="56" t="n"/>
      <c r="I62" s="56" t="n"/>
      <c r="J62" s="67" t="n">
        <v>100.4</v>
      </c>
      <c r="K62" s="3" t="n"/>
      <c r="L62" s="39" t="n">
        <v>104.14</v>
      </c>
      <c r="M62" s="3" t="n"/>
      <c r="N62" s="58" t="n">
        <v>100.4550992</v>
      </c>
      <c r="O62" s="58">
        <f>ROUND(PRODUCT(N51:N62)/100^11,2)</f>
        <v/>
      </c>
      <c r="P62" s="31" t="n">
        <v>100.4550992</v>
      </c>
      <c r="Q62" s="31" t="n">
        <v>104.035285896482</v>
      </c>
      <c r="S62" s="96" t="n"/>
      <c r="T62" s="96" t="n"/>
      <c r="U62" s="96" t="n"/>
      <c r="V62" s="96" t="n">
        <v>0.39481</v>
      </c>
      <c r="W62" s="96" t="n">
        <v>0.36534</v>
      </c>
      <c r="X62" s="96" t="n">
        <v>0.23985</v>
      </c>
      <c r="Y62" s="96" t="n"/>
      <c r="Z62" s="96" t="n"/>
      <c r="AA62" s="101" t="n"/>
      <c r="AB62" s="96" t="n"/>
      <c r="AC62" s="96" t="n"/>
      <c r="AD62" s="96" t="n"/>
      <c r="AE62" s="96" t="n"/>
      <c r="AF62" s="96" t="n"/>
      <c r="AG62" s="96" t="n"/>
      <c r="AH62" s="96" t="n"/>
      <c r="BE62" s="30" t="n">
        <v>41760</v>
      </c>
      <c r="BF62" t="n">
        <v>0.65</v>
      </c>
      <c r="BG62" s="7" t="n"/>
      <c r="BH62" s="7" t="n"/>
      <c r="BI62" s="7" t="n"/>
      <c r="BK62" s="3" t="inlineStr">
        <is>
          <t>Услуги</t>
        </is>
      </c>
      <c r="BL62" s="3" t="n"/>
      <c r="BM62" s="3" t="n"/>
      <c r="BN62" s="3" t="n">
        <v>3.01</v>
      </c>
      <c r="BO62" s="3" t="n">
        <v>0.35</v>
      </c>
      <c r="BP62" s="3" t="n">
        <v>0.6899999999999999</v>
      </c>
      <c r="BQ62" s="3" t="n">
        <v>0.44</v>
      </c>
      <c r="BR62" s="3" t="n">
        <v>0.55</v>
      </c>
      <c r="BS62" s="27" t="n">
        <v>0.59</v>
      </c>
      <c r="BT62" s="27" t="n">
        <v>1.09</v>
      </c>
      <c r="BU62" s="27" t="n">
        <v>-0.35</v>
      </c>
      <c r="BV62" s="27" t="n">
        <v>0.91</v>
      </c>
      <c r="BW62" s="27" t="n">
        <v>0.3</v>
      </c>
      <c r="BX62" s="27" t="n">
        <v>0.84</v>
      </c>
      <c r="BY62" s="27" t="n">
        <v>0.12</v>
      </c>
      <c r="BZ62" s="27" t="n">
        <v>0.37</v>
      </c>
      <c r="CA62" s="27" t="n">
        <v>0.86</v>
      </c>
      <c r="CB62" s="27" t="n">
        <v>0.26</v>
      </c>
      <c r="CC62" s="27" t="n">
        <v>0.2</v>
      </c>
    </row>
    <row r="63">
      <c r="U63" s="25" t="inlineStr">
        <is>
          <t>mom</t>
        </is>
      </c>
      <c r="V63" s="25" t="inlineStr">
        <is>
          <t>Проды</t>
        </is>
      </c>
      <c r="W63" s="25" t="inlineStr">
        <is>
          <t>Непроды</t>
        </is>
      </c>
      <c r="X63" s="25" t="inlineStr">
        <is>
          <t>Услуги</t>
        </is>
      </c>
      <c r="AA63" s="100" t="n">
        <v>40452</v>
      </c>
      <c r="AB63" s="91" t="n">
        <v>0.92</v>
      </c>
      <c r="BE63" s="30" t="n">
        <v>42125</v>
      </c>
      <c r="BF63" t="n">
        <v>0.37</v>
      </c>
      <c r="BG63" s="7" t="n"/>
      <c r="BH63" s="7" t="n"/>
      <c r="BI63" s="7" t="n"/>
    </row>
    <row r="64">
      <c r="E64" s="8" t="n"/>
      <c r="F64" s="8">
        <f>AVERAGE(F39:F50)</f>
        <v/>
      </c>
      <c r="K64" s="125" t="n"/>
      <c r="T64" s="100" t="n">
        <v>40452</v>
      </c>
      <c r="U64" s="91" t="n">
        <v>0.5</v>
      </c>
      <c r="V64" s="25" t="n">
        <v>5.61</v>
      </c>
      <c r="W64" s="25" t="n">
        <v>0.16</v>
      </c>
      <c r="X64" s="25" t="n">
        <v>-0.39</v>
      </c>
      <c r="AA64" s="26" t="n">
        <v>40817</v>
      </c>
      <c r="AB64" s="92" t="n">
        <v>0.46</v>
      </c>
      <c r="BE64" s="30" t="n">
        <v>42491</v>
      </c>
      <c r="BF64" t="n">
        <v>0.21</v>
      </c>
      <c r="BG64" s="7" t="n"/>
      <c r="BH64" s="7" t="n"/>
      <c r="BI64" s="7" t="n"/>
    </row>
    <row r="65">
      <c r="T65" s="26" t="n">
        <v>40817</v>
      </c>
      <c r="U65" s="92" t="n">
        <v>0.33</v>
      </c>
      <c r="V65" s="25" t="n">
        <v>1.26</v>
      </c>
      <c r="W65" s="25" t="n">
        <v>0.95</v>
      </c>
      <c r="X65" s="25" t="n">
        <v>-0.35</v>
      </c>
      <c r="AA65" s="100" t="n">
        <v>41183</v>
      </c>
      <c r="AB65" s="91" t="n">
        <v>0.7</v>
      </c>
      <c r="BE65" s="30" t="n">
        <v>42856</v>
      </c>
      <c r="BF65" t="n">
        <v>0.46</v>
      </c>
      <c r="BG65" s="7" t="n"/>
      <c r="BH65" s="7" t="n"/>
      <c r="BI65" s="7" t="n"/>
    </row>
    <row r="66">
      <c r="T66" s="100" t="n">
        <v>41183</v>
      </c>
      <c r="U66" s="91" t="n">
        <v>0.46</v>
      </c>
      <c r="V66" s="25" t="n">
        <v>0.24</v>
      </c>
      <c r="W66" s="25" t="n">
        <v>0.79</v>
      </c>
      <c r="X66" s="25" t="n">
        <v>0.15</v>
      </c>
      <c r="AA66" s="26" t="n">
        <v>41548</v>
      </c>
      <c r="AB66" s="92" t="n">
        <v>0.63</v>
      </c>
      <c r="BE66" s="30" t="n">
        <v>43221</v>
      </c>
      <c r="BF66" t="n">
        <v>0.09</v>
      </c>
      <c r="BG66" s="7" t="n"/>
      <c r="BH66" s="7" t="n"/>
      <c r="BI66" s="7" t="n"/>
    </row>
    <row r="67">
      <c r="G67" s="5" t="n"/>
      <c r="H67" s="5" t="n"/>
      <c r="T67" s="26" t="n">
        <v>41548</v>
      </c>
      <c r="U67" s="92" t="n">
        <v>1.03</v>
      </c>
      <c r="V67" s="25" t="n">
        <v>0.01</v>
      </c>
      <c r="W67" s="25" t="n">
        <v>0.43</v>
      </c>
      <c r="X67" s="25" t="n">
        <v>0.02</v>
      </c>
      <c r="AA67" s="100" t="n">
        <v>41913</v>
      </c>
      <c r="AB67" s="91" t="n">
        <v>0.98</v>
      </c>
      <c r="BE67" s="30" t="n">
        <v>43586</v>
      </c>
      <c r="BF67" t="n">
        <v>0.53</v>
      </c>
      <c r="BG67" s="7" t="n"/>
      <c r="BH67" s="7" t="n"/>
      <c r="BI67" s="7" t="n"/>
    </row>
    <row r="68">
      <c r="G68" s="5" t="n"/>
      <c r="H68" s="5" t="n"/>
      <c r="T68" s="100" t="n">
        <v>41913</v>
      </c>
      <c r="U68" s="91" t="n">
        <v>0.6</v>
      </c>
      <c r="V68" s="25" t="n">
        <v>1.76</v>
      </c>
      <c r="W68" s="25" t="n">
        <v>1.21</v>
      </c>
      <c r="X68" s="25" t="n">
        <v>0.25</v>
      </c>
      <c r="AA68" s="26" t="n">
        <v>42278</v>
      </c>
      <c r="AB68" s="92" t="n">
        <v>0.32</v>
      </c>
      <c r="BE68" s="30" t="n">
        <v>43952</v>
      </c>
      <c r="BF68" t="n">
        <v>0.12</v>
      </c>
      <c r="BG68" s="7" t="n"/>
      <c r="BH68" s="7" t="n"/>
      <c r="BI68" s="7" t="n"/>
    </row>
    <row r="69">
      <c r="G69" s="5" t="n"/>
      <c r="H69" s="5" t="n"/>
      <c r="T69" s="26" t="n">
        <v>42278</v>
      </c>
      <c r="U69" s="92" t="n">
        <v>1.31</v>
      </c>
      <c r="V69" s="25" t="n">
        <v>0.99</v>
      </c>
      <c r="W69" s="25" t="n">
        <v>1.56</v>
      </c>
      <c r="X69" s="25" t="n">
        <v>0.06</v>
      </c>
      <c r="AA69" s="100" t="n">
        <v>42644</v>
      </c>
      <c r="AB69" s="91" t="n">
        <v>0.29</v>
      </c>
      <c r="BE69" s="30" t="n">
        <v>44317</v>
      </c>
      <c r="BF69" t="n">
        <v>0.41</v>
      </c>
      <c r="BG69" s="7" t="n"/>
      <c r="BH69" s="7" t="n"/>
      <c r="BI69" s="7" t="n"/>
    </row>
    <row r="70">
      <c r="G70" s="5" t="n"/>
      <c r="H70" s="5" t="n"/>
      <c r="T70" s="100" t="n">
        <v>42644</v>
      </c>
      <c r="U70" s="91" t="n">
        <v>0.6</v>
      </c>
      <c r="V70" s="25" t="n">
        <v>-0.29</v>
      </c>
      <c r="W70" s="25" t="n">
        <v>0.73</v>
      </c>
      <c r="X70" s="25" t="n">
        <v>-1.3</v>
      </c>
      <c r="AA70" s="26" t="n">
        <v>43009</v>
      </c>
      <c r="AB70" s="92" t="n">
        <v>0.18</v>
      </c>
      <c r="BE70" s="30" t="n">
        <v>44682</v>
      </c>
      <c r="BF70" t="n">
        <v>0.68</v>
      </c>
      <c r="BG70" s="7">
        <f>BF70-0.5</f>
        <v/>
      </c>
      <c r="BH70" s="7" t="n"/>
      <c r="BI70" s="7" t="n"/>
    </row>
    <row r="71">
      <c r="G71" s="5" t="n"/>
      <c r="H71" s="5" t="n"/>
      <c r="T71" s="26" t="n">
        <v>43009</v>
      </c>
      <c r="U71" s="92" t="n">
        <v>0.16</v>
      </c>
      <c r="V71" s="25" t="n">
        <v>-0.15</v>
      </c>
      <c r="W71" s="25" t="n">
        <v>0.32</v>
      </c>
      <c r="X71" s="25" t="n">
        <v>-0.86</v>
      </c>
      <c r="AA71" s="100" t="n">
        <v>43374</v>
      </c>
      <c r="AB71" s="91" t="n">
        <v>0.87</v>
      </c>
      <c r="BE71" s="30" t="n">
        <v>45047</v>
      </c>
      <c r="BF71" t="n">
        <v>-0.25</v>
      </c>
      <c r="BG71" s="7">
        <f>BF71+0.5</f>
        <v/>
      </c>
      <c r="BH71" s="7" t="n"/>
      <c r="BI71" s="7" t="n"/>
    </row>
    <row r="72">
      <c r="G72" s="5" t="n"/>
      <c r="H72" s="5" t="n"/>
      <c r="T72" s="100" t="n">
        <v>43374</v>
      </c>
      <c r="U72" s="91" t="n">
        <v>0.09</v>
      </c>
      <c r="V72" s="25" t="n">
        <v>-0.41</v>
      </c>
      <c r="W72" s="25" t="n">
        <v>0.25</v>
      </c>
      <c r="X72" s="25" t="n">
        <v>-1</v>
      </c>
      <c r="AA72" s="26" t="n">
        <v>43739</v>
      </c>
      <c r="AB72" s="92" t="n">
        <v>0.39</v>
      </c>
      <c r="BE72" s="30" t="n">
        <v>45413</v>
      </c>
      <c r="BF72" t="n">
        <v>0.9399999999999999</v>
      </c>
      <c r="BG72" s="7">
        <f>BF72-0.5</f>
        <v/>
      </c>
      <c r="BH72" s="22" t="n"/>
      <c r="BI72" s="29" t="n"/>
    </row>
    <row r="73">
      <c r="G73" s="5" t="n"/>
      <c r="H73" s="5" t="n"/>
      <c r="T73" s="26" t="n">
        <v>43739</v>
      </c>
      <c r="U73" s="92" t="n">
        <v>0.3</v>
      </c>
      <c r="V73" s="25" t="n">
        <v>-0.47</v>
      </c>
      <c r="W73" s="25" t="n">
        <v>0.33</v>
      </c>
      <c r="X73" s="25" t="n">
        <v>-1.02</v>
      </c>
      <c r="AA73" s="100" t="n">
        <v>44105</v>
      </c>
      <c r="AB73" s="91" t="n">
        <v>0.78</v>
      </c>
      <c r="BE73" s="30" t="n">
        <v>45778</v>
      </c>
      <c r="BF73" s="22">
        <f>E43-100</f>
        <v/>
      </c>
      <c r="BG73" s="31" t="n"/>
      <c r="BH73" s="31" t="n"/>
      <c r="BI73" s="31" t="n"/>
    </row>
    <row r="74">
      <c r="G74" s="5" t="n"/>
      <c r="H74" s="5" t="n"/>
      <c r="T74" s="100" t="n">
        <v>44105</v>
      </c>
      <c r="U74" s="91" t="n">
        <v>0.5</v>
      </c>
      <c r="V74" s="25" t="n">
        <v>0.05</v>
      </c>
      <c r="W74" s="25" t="n">
        <v>0.64</v>
      </c>
      <c r="X74" s="25" t="n">
        <v>-0.55</v>
      </c>
      <c r="AA74" s="26" t="n">
        <v>44470</v>
      </c>
      <c r="AB74" s="92" t="n">
        <v>0.86</v>
      </c>
      <c r="BE74" t="inlineStr">
        <is>
          <t>Медиана</t>
        </is>
      </c>
      <c r="BF74" s="2">
        <f>MEDIAN(BF58:BF72)</f>
        <v/>
      </c>
      <c r="BG74" s="2" t="n"/>
      <c r="BH74" s="2" t="n"/>
      <c r="BI74" s="2" t="n"/>
    </row>
    <row r="75">
      <c r="G75" s="5" t="n"/>
      <c r="H75" s="5" t="n"/>
      <c r="S75" s="96" t="n"/>
      <c r="T75" s="26" t="n">
        <v>44470</v>
      </c>
      <c r="U75" s="92" t="n">
        <v>0.92</v>
      </c>
      <c r="V75" s="101" t="n">
        <v>1.73</v>
      </c>
      <c r="W75" s="101" t="n">
        <v>0.65</v>
      </c>
      <c r="X75" s="101" t="n">
        <v>-1.02</v>
      </c>
      <c r="Y75" s="96" t="n"/>
      <c r="Z75" s="96" t="n"/>
      <c r="AA75" s="100" t="n">
        <v>44835</v>
      </c>
      <c r="AB75" s="91" t="n">
        <v>0.26</v>
      </c>
      <c r="AC75" s="96" t="n"/>
      <c r="AD75" s="96" t="n"/>
      <c r="AE75" s="96" t="n"/>
      <c r="AF75" s="96" t="n"/>
      <c r="AG75" s="96" t="n"/>
      <c r="AH75" s="96" t="n"/>
      <c r="BE75" t="inlineStr">
        <is>
          <t>Средняя</t>
        </is>
      </c>
      <c r="BF75" s="31">
        <f>AVERAGEIFS(BF58:BF72,BF58:BF72,"&lt;1,31")</f>
        <v/>
      </c>
      <c r="BG75" s="31" t="n"/>
      <c r="BH75" s="31" t="n"/>
      <c r="BI75" s="31" t="n"/>
    </row>
    <row r="76">
      <c r="G76" s="5" t="n"/>
      <c r="H76" s="5" t="n"/>
      <c r="S76" s="96" t="n"/>
      <c r="T76" s="100" t="n">
        <v>44835</v>
      </c>
      <c r="U76" s="91" t="n">
        <v>0.66</v>
      </c>
      <c r="V76" s="101" t="n">
        <v>-0.11</v>
      </c>
      <c r="W76" s="101" t="n">
        <v>0.93</v>
      </c>
      <c r="X76" s="101" t="n">
        <v>0.21</v>
      </c>
      <c r="Y76" s="96" t="n"/>
      <c r="Z76" s="96" t="n"/>
      <c r="AA76" s="26" t="n">
        <v>45200</v>
      </c>
      <c r="AB76" s="92" t="n">
        <v>0.74</v>
      </c>
      <c r="AC76" s="96" t="n"/>
      <c r="AD76" s="96" t="n"/>
      <c r="AE76" s="96" t="n"/>
      <c r="AF76" s="96" t="n"/>
      <c r="AG76" s="96" t="n"/>
      <c r="AH76" s="96" t="n"/>
      <c r="BE76" t="inlineStr">
        <is>
          <t>Дисперсия</t>
        </is>
      </c>
      <c r="BF76" s="2">
        <f>_xlfn.VAR.S(BF58:BF72)</f>
        <v/>
      </c>
      <c r="BG76" s="2" t="n"/>
      <c r="BH76" s="2" t="n"/>
      <c r="BI76" s="2" t="n"/>
    </row>
    <row r="77">
      <c r="G77" s="5" t="n"/>
      <c r="H77" s="5" t="n"/>
      <c r="S77" s="96" t="n"/>
      <c r="T77" s="26" t="n">
        <v>45200</v>
      </c>
      <c r="U77" s="92" t="n">
        <v>0.46</v>
      </c>
      <c r="V77" s="101" t="n">
        <v>2.56</v>
      </c>
      <c r="W77" s="101" t="n">
        <v>1.49</v>
      </c>
      <c r="X77" s="101" t="n">
        <v>0.84</v>
      </c>
      <c r="Y77" s="96" t="n"/>
      <c r="Z77" s="96" t="n"/>
      <c r="AA77" s="100" t="n">
        <v>45566</v>
      </c>
      <c r="AB77" s="91" t="n">
        <v>1.5</v>
      </c>
      <c r="AC77" s="96" t="n"/>
      <c r="AD77" s="96" t="n"/>
      <c r="AE77" s="96" t="n"/>
      <c r="AF77" s="96" t="n"/>
      <c r="AG77" s="96" t="n"/>
      <c r="AH77" s="96" t="n"/>
    </row>
    <row r="78">
      <c r="G78" s="5" t="n"/>
      <c r="H78" s="5" t="n"/>
      <c r="J78" s="5" t="n"/>
      <c r="S78" s="96" t="n"/>
      <c r="T78" s="100" t="n">
        <v>45566</v>
      </c>
      <c r="U78" s="91" t="n">
        <v>1.02</v>
      </c>
      <c r="V78" s="101" t="n">
        <v>0.39</v>
      </c>
      <c r="W78" s="101" t="n">
        <v>0.84</v>
      </c>
      <c r="X78" s="101" t="n">
        <v>0.66</v>
      </c>
      <c r="Y78" s="96" t="n"/>
      <c r="Z78" s="96" t="n"/>
      <c r="AA78" s="100" t="n">
        <v>45931</v>
      </c>
      <c r="AB78" s="25" t="n">
        <v>1.02</v>
      </c>
      <c r="AC78" s="96" t="n"/>
      <c r="AD78" s="96" t="n"/>
      <c r="AE78" s="96" t="n"/>
      <c r="AF78" s="96" t="n"/>
      <c r="AG78" s="96" t="n"/>
      <c r="AH78" s="96" t="n"/>
      <c r="BF78" s="19" t="n"/>
      <c r="BG78" s="19" t="n"/>
      <c r="BH78" s="19" t="n"/>
      <c r="BI78" s="19" t="n"/>
    </row>
    <row r="79">
      <c r="S79" s="96" t="n"/>
      <c r="T79" s="100" t="n">
        <v>45931</v>
      </c>
      <c r="U79" s="25" t="n">
        <v>0.78</v>
      </c>
      <c r="V79" s="102" t="n">
        <v>99.95</v>
      </c>
      <c r="W79" s="102" t="n">
        <v>100.75</v>
      </c>
      <c r="X79" s="102" t="n">
        <v>100.36</v>
      </c>
      <c r="Y79" s="96" t="n"/>
      <c r="Z79" s="96" t="n"/>
      <c r="AA79" t="inlineStr">
        <is>
          <t>Медиана</t>
        </is>
      </c>
      <c r="AB79" s="2">
        <f>MEDIAN(AB63:AB77)</f>
        <v/>
      </c>
      <c r="AC79" s="96" t="n"/>
      <c r="AD79" s="96" t="n"/>
      <c r="AE79" s="96" t="n"/>
      <c r="AF79" s="96" t="n"/>
      <c r="AG79" s="96" t="n"/>
      <c r="AH79" s="96" t="n"/>
      <c r="BE79" s="30" t="n"/>
      <c r="BF79" s="4" t="n"/>
      <c r="BG79" s="7" t="n"/>
      <c r="BH79" s="7" t="n"/>
      <c r="BI79" s="7" t="n"/>
    </row>
    <row r="80">
      <c r="S80" s="96" t="n"/>
      <c r="T80" t="inlineStr">
        <is>
          <t>Медиана</t>
        </is>
      </c>
      <c r="U80" s="2">
        <f>MEDIAN(U64:U78)</f>
        <v/>
      </c>
      <c r="V80" s="96" t="n"/>
      <c r="W80" s="96" t="n"/>
      <c r="X80" s="96" t="n"/>
      <c r="Y80" s="96" t="n"/>
      <c r="Z80" s="96" t="n"/>
      <c r="AA80" t="inlineStr">
        <is>
          <t>Средняя</t>
        </is>
      </c>
      <c r="AB80" s="31">
        <f>AVERAGEIFS(AB63:AB77,AB63:AB77,"&lt;1,31")</f>
        <v/>
      </c>
      <c r="AC80" s="96" t="n"/>
      <c r="AD80" s="96" t="n"/>
      <c r="AE80" s="96" t="n"/>
      <c r="AF80" s="96" t="n"/>
      <c r="AG80" s="96" t="n"/>
      <c r="AH80" s="96" t="n"/>
      <c r="BE80" s="30" t="n"/>
      <c r="BF80" s="4" t="n"/>
      <c r="BG80" s="7" t="n"/>
      <c r="BH80" s="7" t="n"/>
      <c r="BI80" s="7" t="n"/>
    </row>
    <row r="81">
      <c r="S81" s="96" t="n"/>
      <c r="T81" t="inlineStr">
        <is>
          <t>Средняя</t>
        </is>
      </c>
      <c r="U81" s="31">
        <f>AVERAGEIFS(U64:U78,U64:U78,"&lt;1,31")</f>
        <v/>
      </c>
      <c r="V81" s="96" t="n"/>
      <c r="W81" s="96" t="n"/>
      <c r="X81" s="96" t="n"/>
      <c r="Y81" s="96" t="n"/>
      <c r="Z81" s="96" t="n"/>
      <c r="AA81" t="inlineStr">
        <is>
          <t>Дисперсия</t>
        </is>
      </c>
      <c r="AB81" s="2">
        <f>_xlfn.VAR.S(AB63:AB77)</f>
        <v/>
      </c>
      <c r="AC81" s="96" t="n"/>
      <c r="AD81" s="96" t="n"/>
      <c r="AE81" s="96" t="n"/>
      <c r="AF81" s="96" t="n"/>
      <c r="AG81" s="96" t="n"/>
      <c r="AH81" s="96" t="n"/>
      <c r="BE81" s="30" t="n"/>
      <c r="BF81" s="4" t="n"/>
      <c r="BG81" s="7" t="n"/>
      <c r="BH81" s="7" t="n"/>
      <c r="BI81" s="7" t="n"/>
    </row>
    <row r="82">
      <c r="S82" s="96" t="n"/>
      <c r="T82" t="inlineStr">
        <is>
          <t>Дисперсия</t>
        </is>
      </c>
      <c r="U82" s="2">
        <f>_xlfn.VAR.S(U64:U78)</f>
        <v/>
      </c>
      <c r="V82" s="96" t="n"/>
      <c r="W82" s="96" t="n"/>
      <c r="X82" s="96" t="n"/>
      <c r="Y82" s="96" t="n"/>
      <c r="Z82" s="96" t="n"/>
      <c r="AA82" s="96" t="n"/>
      <c r="AB82" s="96" t="n"/>
      <c r="AC82" s="96" t="n"/>
      <c r="AD82" s="96" t="n"/>
      <c r="AE82" s="96" t="n"/>
      <c r="AF82" s="96" t="n"/>
      <c r="AG82" s="96" t="n"/>
      <c r="AH82" s="96" t="n"/>
      <c r="BE82" s="30" t="n">
        <v>40330</v>
      </c>
      <c r="BF82" s="91" t="n">
        <v>0.73</v>
      </c>
      <c r="BG82" s="7" t="n"/>
      <c r="BH82" s="7" t="n"/>
      <c r="BI82" s="7" t="n"/>
    </row>
    <row r="83">
      <c r="S83" s="96" t="n"/>
      <c r="T83" s="96" t="n"/>
      <c r="U83" s="96" t="n"/>
      <c r="V83" s="96" t="n"/>
      <c r="W83" s="96" t="n"/>
      <c r="X83" s="96" t="n"/>
      <c r="Y83" s="96" t="n"/>
      <c r="Z83" s="96" t="n"/>
      <c r="AA83" s="96" t="n"/>
      <c r="AB83" s="96" t="n"/>
      <c r="AC83" s="96" t="n"/>
      <c r="AD83" s="96" t="n"/>
      <c r="AE83" s="96" t="n"/>
      <c r="AF83" s="96" t="n"/>
      <c r="AG83" s="96" t="n"/>
      <c r="AH83" s="96" t="n"/>
      <c r="BE83" s="30" t="n">
        <v>40695</v>
      </c>
      <c r="BF83" s="92" t="n">
        <v>-0.61</v>
      </c>
      <c r="BG83" s="7" t="n"/>
      <c r="BH83" s="7" t="n"/>
      <c r="BI83" s="7" t="n"/>
    </row>
    <row r="84">
      <c r="S84" s="96" t="n"/>
      <c r="T84" s="96" t="n"/>
      <c r="U84" s="96" t="n"/>
      <c r="V84" s="96" t="n"/>
      <c r="W84" s="96" t="n"/>
      <c r="X84" s="96" t="n">
        <v>100</v>
      </c>
      <c r="Y84" s="96" t="n"/>
      <c r="Z84" s="96" t="n"/>
      <c r="AA84" s="96" t="n"/>
      <c r="AB84" s="96" t="n"/>
      <c r="AC84" s="96" t="n"/>
      <c r="AD84" s="96" t="n"/>
      <c r="AE84" s="96" t="n"/>
      <c r="AF84" s="96" t="n"/>
      <c r="AG84" s="96" t="n"/>
      <c r="AH84" s="96" t="n"/>
      <c r="BE84" s="30" t="n">
        <v>41061</v>
      </c>
      <c r="BF84" s="91" t="n">
        <v>0.55</v>
      </c>
      <c r="BG84" s="7" t="n"/>
      <c r="BH84" s="7" t="n"/>
      <c r="BI84" s="7" t="n"/>
    </row>
    <row r="85">
      <c r="S85" s="96" t="n"/>
      <c r="T85" s="96" t="n"/>
      <c r="U85" s="96" t="n"/>
      <c r="V85" s="96" t="n"/>
      <c r="W85" s="96" t="n"/>
      <c r="X85" s="96" t="n"/>
      <c r="Y85" s="96" t="n"/>
      <c r="Z85" s="96" t="n"/>
      <c r="AA85" s="96" t="n"/>
      <c r="AB85" s="96" t="n"/>
      <c r="AC85" s="96" t="n"/>
      <c r="AD85" s="96" t="n"/>
      <c r="AE85" s="96" t="n"/>
      <c r="AF85" s="96" t="n"/>
      <c r="AG85" s="96" t="n"/>
      <c r="AH85" s="96" t="n"/>
      <c r="BE85" s="30" t="n">
        <v>41426</v>
      </c>
      <c r="BF85" s="92" t="n">
        <v>0.09</v>
      </c>
      <c r="BG85" s="7" t="n"/>
      <c r="BH85" s="7" t="n"/>
      <c r="BI85" s="7" t="n"/>
    </row>
    <row r="86">
      <c r="S86" s="96" t="n"/>
      <c r="T86" s="96" t="n"/>
      <c r="U86" s="96" t="n"/>
      <c r="V86" s="96" t="n"/>
      <c r="W86" s="96" t="n"/>
      <c r="X86" s="96" t="n"/>
      <c r="Y86" s="96" t="n"/>
      <c r="Z86" s="96" t="n"/>
      <c r="AA86" s="96" t="n"/>
      <c r="AB86" s="96" t="n"/>
      <c r="AC86" s="96" t="n"/>
      <c r="AD86" s="96" t="n"/>
      <c r="AE86" s="96" t="n"/>
      <c r="AF86" s="96" t="n"/>
      <c r="AG86" s="96" t="n"/>
      <c r="AH86" s="96" t="n"/>
      <c r="BE86" s="30" t="n">
        <v>41791</v>
      </c>
      <c r="BF86" s="91" t="n">
        <v>0.01</v>
      </c>
      <c r="BG86" s="7" t="n"/>
      <c r="BH86" s="7" t="n"/>
      <c r="BI86" s="7" t="n"/>
    </row>
    <row r="87">
      <c r="S87" s="96" t="n"/>
      <c r="T87" s="96" t="n"/>
      <c r="U87" s="96" t="n"/>
      <c r="V87" s="96" t="n"/>
      <c r="W87" s="96" t="n"/>
      <c r="X87" s="96" t="n"/>
      <c r="Y87" s="96" t="n"/>
      <c r="Z87" s="96" t="n"/>
      <c r="AA87" s="96" t="n"/>
      <c r="AB87" s="96" t="n"/>
      <c r="AC87" s="96" t="n"/>
      <c r="AD87" s="96" t="n"/>
      <c r="AE87" s="96" t="n"/>
      <c r="AF87" s="96" t="n"/>
      <c r="AG87" s="96" t="n"/>
      <c r="AH87" s="96" t="n"/>
      <c r="BE87" s="30" t="n">
        <v>42156</v>
      </c>
      <c r="BF87" s="92" t="n">
        <v>-0.28</v>
      </c>
      <c r="BG87" s="7" t="n"/>
      <c r="BH87" s="7" t="n"/>
      <c r="BI87" s="7" t="n"/>
    </row>
    <row r="88">
      <c r="S88" s="96" t="n"/>
      <c r="T88" s="96" t="n"/>
      <c r="U88" s="96" t="n"/>
      <c r="V88" s="96" t="n"/>
      <c r="W88" s="96" t="n"/>
      <c r="X88" s="96" t="n"/>
      <c r="Y88" s="96" t="n"/>
      <c r="Z88" s="96" t="n"/>
      <c r="AA88" s="96" t="n"/>
      <c r="AB88" s="96" t="n"/>
      <c r="AC88" s="96" t="n"/>
      <c r="AD88" s="96" t="n"/>
      <c r="AE88" s="96" t="n"/>
      <c r="AF88" s="96" t="n"/>
      <c r="AG88" s="96" t="n"/>
      <c r="AH88" s="96" t="n"/>
      <c r="BE88" s="30" t="n">
        <v>42522</v>
      </c>
      <c r="BF88" s="91" t="n">
        <v>0.24</v>
      </c>
      <c r="BG88" s="7" t="n"/>
      <c r="BH88" s="7" t="n"/>
      <c r="BI88" s="7" t="n"/>
    </row>
    <row r="89">
      <c r="S89" s="96" t="n"/>
      <c r="T89" s="96" t="n"/>
      <c r="U89" s="96" t="n"/>
      <c r="V89" s="96" t="n"/>
      <c r="W89" s="96" t="n"/>
      <c r="X89" s="96" t="n"/>
      <c r="Y89" s="96" t="n"/>
      <c r="Z89" s="96" t="n"/>
      <c r="AA89" s="96" t="n"/>
      <c r="AB89" s="96" t="n"/>
      <c r="AC89" s="96" t="n"/>
      <c r="AD89" s="96" t="n"/>
      <c r="AE89" s="96" t="n"/>
      <c r="AF89" s="96" t="n"/>
      <c r="AG89" s="96" t="n"/>
      <c r="AH89" s="96" t="n"/>
      <c r="BE89" s="30" t="n">
        <v>42887</v>
      </c>
      <c r="BF89" s="92" t="n">
        <v>0.58</v>
      </c>
      <c r="BG89" s="7" t="n"/>
      <c r="BH89" s="7" t="n"/>
      <c r="BI89" s="7" t="n"/>
    </row>
    <row r="90">
      <c r="BE90" s="30" t="n">
        <v>43252</v>
      </c>
      <c r="BF90" s="91" t="n">
        <v>0.64</v>
      </c>
      <c r="BG90" s="7" t="n"/>
      <c r="BH90" s="7" t="n"/>
      <c r="BI90" s="7" t="n"/>
    </row>
    <row r="91">
      <c r="BE91" s="30" t="n">
        <v>43617</v>
      </c>
      <c r="BF91" s="92" t="n">
        <v>-0.41</v>
      </c>
      <c r="BG91" s="7" t="n"/>
      <c r="BH91" s="7" t="n"/>
      <c r="BI91" s="7" t="n"/>
    </row>
    <row r="92">
      <c r="BE92" s="30" t="n">
        <v>43983</v>
      </c>
      <c r="BF92" s="91" t="n">
        <v>0.01</v>
      </c>
      <c r="BG92" s="7" t="n"/>
      <c r="BH92" s="7" t="n"/>
      <c r="BI92" s="7" t="n"/>
    </row>
    <row r="93">
      <c r="BE93" s="30" t="n">
        <v>44348</v>
      </c>
      <c r="BF93" s="92" t="n">
        <v>0.5600000000000001</v>
      </c>
      <c r="BG93" s="29" t="n"/>
      <c r="BH93" s="29" t="n"/>
      <c r="BI93" s="29" t="n"/>
    </row>
    <row r="94">
      <c r="BE94" s="30" t="n">
        <v>44713</v>
      </c>
      <c r="BF94" s="91" t="n">
        <v>-0.68</v>
      </c>
      <c r="BG94" s="31" t="n"/>
      <c r="BH94" s="31" t="n"/>
      <c r="BI94" s="31" t="n"/>
    </row>
    <row r="95">
      <c r="BE95" s="30" t="n">
        <v>45078</v>
      </c>
      <c r="BF95" s="92" t="n">
        <v>0.43</v>
      </c>
      <c r="BG95" s="2" t="n"/>
      <c r="BH95" s="2" t="n"/>
      <c r="BI95" s="2" t="n"/>
    </row>
    <row r="96">
      <c r="BE96" s="30" t="n">
        <v>45444</v>
      </c>
      <c r="BF96" s="91" t="n">
        <v>0.18</v>
      </c>
      <c r="BG96" s="31" t="n"/>
      <c r="BH96" s="31" t="n"/>
      <c r="BI96" s="31" t="n"/>
    </row>
    <row r="97">
      <c r="BE97" s="30" t="n">
        <v>45809</v>
      </c>
      <c r="BF97" s="93">
        <f>E44-100</f>
        <v/>
      </c>
      <c r="BG97" s="2" t="n"/>
      <c r="BH97" s="2" t="n"/>
      <c r="BI97" s="2" t="n"/>
    </row>
    <row r="98">
      <c r="BE98" t="inlineStr">
        <is>
          <t>Медиана</t>
        </is>
      </c>
      <c r="BF98" s="2">
        <f>MEDIAN(BF82:BF96)</f>
        <v/>
      </c>
    </row>
    <row r="99">
      <c r="BE99" t="inlineStr">
        <is>
          <t>Средняя</t>
        </is>
      </c>
      <c r="BF99" s="31">
        <f>AVERAGEIFS(BF82:BF96,BF82:BF96,"&lt;1,31")</f>
        <v/>
      </c>
    </row>
    <row r="100">
      <c r="BE100" t="inlineStr">
        <is>
          <t>Дисперсия</t>
        </is>
      </c>
      <c r="BF100" s="2">
        <f>_xlfn.VAR.S(BF82:BF96)</f>
        <v/>
      </c>
    </row>
  </sheetData>
  <conditionalFormatting sqref="P23:P2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3:S24 T53:AH54 AI23:BB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7:CA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8:CA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9"/>
  <sheetViews>
    <sheetView topLeftCell="J1" zoomScale="85" zoomScaleNormal="85" workbookViewId="0">
      <pane ySplit="1" topLeftCell="A150" activePane="bottomLeft" state="frozen"/>
      <selection pane="bottomLeft" activeCell="AB174" sqref="AB174"/>
    </sheetView>
  </sheetViews>
  <sheetFormatPr baseColWidth="8" defaultRowHeight="14.4"/>
  <cols>
    <col width="10.09765625" bestFit="1" customWidth="1" min="1" max="1"/>
    <col width="9.09765625" customWidth="1" style="1" min="4" max="4"/>
    <col width="12.59765625" bestFit="1" customWidth="1" style="3" min="6" max="6"/>
    <col width="20.296875" bestFit="1" customWidth="1" min="7" max="7"/>
    <col width="11.69921875" bestFit="1" customWidth="1" style="3" min="8" max="9"/>
    <col width="12.69921875" bestFit="1" customWidth="1" style="3" min="10" max="10"/>
    <col width="13.8984375" bestFit="1" customWidth="1" min="11" max="11"/>
    <col width="9.09765625" customWidth="1" min="13" max="13"/>
    <col width="11.69921875" bestFit="1" customWidth="1" min="14" max="14"/>
    <col width="10.69921875" bestFit="1" customWidth="1" min="15" max="32"/>
    <col width="10.296875" bestFit="1" customWidth="1" min="33" max="37"/>
  </cols>
  <sheetData>
    <row r="1">
      <c r="A1" s="20" t="inlineStr">
        <is>
          <t>Date</t>
        </is>
      </c>
      <c r="B1" s="20" t="inlineStr">
        <is>
          <t>MoM</t>
        </is>
      </c>
      <c r="C1" s="20" t="inlineStr">
        <is>
          <t>MoMF</t>
        </is>
      </c>
      <c r="D1" s="1" t="inlineStr">
        <is>
          <t>IPC_BASE</t>
        </is>
      </c>
      <c r="E1" s="20" t="inlineStr">
        <is>
          <t>YoY</t>
        </is>
      </c>
      <c r="F1" s="20" t="inlineStr">
        <is>
          <t>IPC_BASE_SA</t>
        </is>
      </c>
      <c r="G1" s="20" t="inlineStr">
        <is>
          <t>IPC_BASE_SA 2 IPC SA</t>
        </is>
      </c>
      <c r="H1" s="20" t="inlineStr">
        <is>
          <t>3MMASAAR</t>
        </is>
      </c>
      <c r="I1" s="20" t="inlineStr">
        <is>
          <t>YoYSA</t>
        </is>
      </c>
      <c r="J1" s="20" t="inlineStr">
        <is>
          <t>ВВГУ MomSA</t>
        </is>
      </c>
      <c r="K1" s="20" t="inlineStr">
        <is>
          <t>ВВГУ 3mmsaar</t>
        </is>
      </c>
    </row>
    <row r="2">
      <c r="A2" s="18" t="n">
        <v>40148</v>
      </c>
      <c r="B2" s="20" t="n"/>
      <c r="C2" s="20" t="n"/>
      <c r="D2" s="1" t="n">
        <v>100</v>
      </c>
      <c r="E2" s="20" t="n"/>
      <c r="F2" s="28" t="n">
        <v>101.377359456923</v>
      </c>
      <c r="J2" s="41" t="n"/>
    </row>
    <row r="3">
      <c r="A3" s="18" t="n">
        <v>40179</v>
      </c>
      <c r="B3" s="1" t="n">
        <v>1.49</v>
      </c>
      <c r="C3" s="2">
        <f>B3+100</f>
        <v/>
      </c>
      <c r="D3" s="21">
        <f>C3*D2/100</f>
        <v/>
      </c>
      <c r="E3" s="35" t="n">
        <v>108.84</v>
      </c>
      <c r="F3" s="28" t="n">
        <v>102.336237630703</v>
      </c>
      <c r="G3" s="2">
        <f>F3/F2*100</f>
        <v/>
      </c>
      <c r="H3" s="23" t="n"/>
      <c r="J3" s="41" t="n"/>
    </row>
    <row r="4">
      <c r="A4" s="18" t="n">
        <v>40210</v>
      </c>
      <c r="B4" s="1" t="n">
        <v>1.2</v>
      </c>
      <c r="C4" s="2">
        <f>B4+100</f>
        <v/>
      </c>
      <c r="D4" s="21">
        <f>C4*D3/100</f>
        <v/>
      </c>
      <c r="E4" s="35" t="n">
        <v>109.21</v>
      </c>
      <c r="F4" s="28" t="n">
        <v>103.077992848505</v>
      </c>
      <c r="G4" s="2">
        <f>F4/F3*100</f>
        <v/>
      </c>
      <c r="H4" s="23" t="n"/>
      <c r="J4" s="41" t="n"/>
    </row>
    <row r="5">
      <c r="A5" s="18" t="n">
        <v>40238</v>
      </c>
      <c r="B5" s="1" t="n">
        <v>0.92</v>
      </c>
      <c r="C5" s="2">
        <f>B5+100</f>
        <v/>
      </c>
      <c r="D5" s="21">
        <f>C5*D4/100</f>
        <v/>
      </c>
      <c r="E5" s="35" t="n">
        <v>108.98</v>
      </c>
      <c r="F5" s="28" t="n">
        <v>103.551366450296</v>
      </c>
      <c r="G5" s="2">
        <f>F5/F4*100</f>
        <v/>
      </c>
      <c r="H5" s="23">
        <f>AVERAGE(G3:G5)^12/100^11-100</f>
        <v/>
      </c>
      <c r="J5" s="41" t="n"/>
      <c r="K5" s="23" t="n"/>
    </row>
    <row r="6">
      <c r="A6" s="18" t="n">
        <v>40269</v>
      </c>
      <c r="B6" s="1" t="n">
        <v>0.59</v>
      </c>
      <c r="C6" s="2">
        <f>B6+100</f>
        <v/>
      </c>
      <c r="D6" s="21">
        <f>C6*D5/100</f>
        <v/>
      </c>
      <c r="E6" s="35" t="n">
        <v>108.04</v>
      </c>
      <c r="F6" s="28" t="n">
        <v>104.206090560222</v>
      </c>
      <c r="G6" s="2">
        <f>F6/F5*100</f>
        <v/>
      </c>
      <c r="H6" s="23">
        <f>AVERAGE(G4:G6)^12/100^11-100</f>
        <v/>
      </c>
      <c r="J6" s="41" t="n"/>
      <c r="K6" s="23" t="n"/>
    </row>
    <row r="7">
      <c r="A7" s="18" t="n">
        <v>40299</v>
      </c>
      <c r="B7" s="1" t="n">
        <v>0.64</v>
      </c>
      <c r="C7" s="2">
        <f>B7+100</f>
        <v/>
      </c>
      <c r="D7" s="21">
        <f>C7*D6/100</f>
        <v/>
      </c>
      <c r="E7" s="35" t="n">
        <v>108.11</v>
      </c>
      <c r="F7" s="28" t="n">
        <v>105.438668726895</v>
      </c>
      <c r="G7" s="2">
        <f>F7/F6*100</f>
        <v/>
      </c>
      <c r="H7" s="23">
        <f>AVERAGE(G5:G7)^12/100^11-100</f>
        <v/>
      </c>
      <c r="J7" s="41" t="n"/>
      <c r="K7" s="23" t="n"/>
    </row>
    <row r="8">
      <c r="A8" s="18" t="n">
        <v>40330</v>
      </c>
      <c r="B8" s="1" t="n">
        <v>0.73</v>
      </c>
      <c r="C8" s="2">
        <f>B8+100</f>
        <v/>
      </c>
      <c r="D8" s="21">
        <f>C8*D7/100</f>
        <v/>
      </c>
      <c r="E8" s="35" t="n">
        <v>107.36</v>
      </c>
      <c r="F8" s="28" t="n">
        <v>105.33044756948</v>
      </c>
      <c r="G8" s="2">
        <f>F8/F7*100</f>
        <v/>
      </c>
      <c r="H8" s="23">
        <f>AVERAGE(G6:G8)^12/100^11-100</f>
        <v/>
      </c>
      <c r="J8" s="41" t="n"/>
      <c r="K8" s="23" t="n"/>
    </row>
    <row r="9">
      <c r="A9" s="18" t="n">
        <v>40360</v>
      </c>
      <c r="B9" s="1" t="n">
        <v>-0.49</v>
      </c>
      <c r="C9" s="2">
        <f>B9+100</f>
        <v/>
      </c>
      <c r="D9" s="21">
        <f>C9*D8/100</f>
        <v/>
      </c>
      <c r="E9" s="35" t="n">
        <v>106.82</v>
      </c>
      <c r="F9" s="28" t="n">
        <v>106.425728232109</v>
      </c>
      <c r="G9" s="2">
        <f>F9/F8*100</f>
        <v/>
      </c>
      <c r="H9" s="23">
        <f>AVERAGE(G7:G9)^12/100^11-100</f>
        <v/>
      </c>
      <c r="J9" s="41" t="n"/>
      <c r="K9" s="23" t="n"/>
    </row>
    <row r="10">
      <c r="A10" s="18" t="n">
        <v>40391</v>
      </c>
      <c r="B10" s="1" t="n">
        <v>0.48</v>
      </c>
      <c r="C10" s="2">
        <f>B10+100</f>
        <v/>
      </c>
      <c r="D10" s="21">
        <f>C10*D9/100</f>
        <v/>
      </c>
      <c r="E10" s="35" t="n">
        <v>106.83</v>
      </c>
      <c r="F10" s="28" t="n">
        <v>108.686824203488</v>
      </c>
      <c r="G10" s="2">
        <f>F10/F9*100</f>
        <v/>
      </c>
      <c r="H10" s="23">
        <f>AVERAGE(G8:G10)^12/100^11-100</f>
        <v/>
      </c>
      <c r="J10" s="41" t="n"/>
      <c r="K10" s="23" t="n"/>
    </row>
    <row r="11">
      <c r="A11" s="18" t="n">
        <v>40422</v>
      </c>
      <c r="B11" s="1" t="n">
        <v>2.29</v>
      </c>
      <c r="C11" s="2">
        <f>B11+100</f>
        <v/>
      </c>
      <c r="D11" s="21">
        <f>C11*D10/100</f>
        <v/>
      </c>
      <c r="E11" s="35" t="n">
        <v>109.12</v>
      </c>
      <c r="F11" s="28" t="n">
        <v>109.240473444808</v>
      </c>
      <c r="G11" s="2">
        <f>F11/F10*100</f>
        <v/>
      </c>
      <c r="H11" s="23">
        <f>AVERAGE(G9:G11)^12/100^11-100</f>
        <v/>
      </c>
      <c r="J11" s="41" t="n"/>
      <c r="K11" s="23" t="n"/>
    </row>
    <row r="12">
      <c r="A12" s="18" t="n">
        <v>40452</v>
      </c>
      <c r="B12" s="1" t="n">
        <v>0.5</v>
      </c>
      <c r="C12" s="2">
        <f>B12+100</f>
        <v/>
      </c>
      <c r="D12" s="21">
        <f>C12*D11/100</f>
        <v/>
      </c>
      <c r="E12" s="35" t="n">
        <v>109.47</v>
      </c>
      <c r="F12" s="28" t="n">
        <v>110.213589831538</v>
      </c>
      <c r="G12" s="2">
        <f>F12/F11*100</f>
        <v/>
      </c>
      <c r="H12" s="23">
        <f>AVERAGE(G10:G12)^12/100^11-100</f>
        <v/>
      </c>
      <c r="J12" s="41" t="n"/>
      <c r="K12" s="23" t="n"/>
    </row>
    <row r="13">
      <c r="A13" s="18" t="n">
        <v>40483</v>
      </c>
      <c r="B13" s="1" t="n">
        <v>0.92</v>
      </c>
      <c r="C13" s="2">
        <f>B13+100</f>
        <v/>
      </c>
      <c r="D13" s="21">
        <f>C13*D12/100</f>
        <v/>
      </c>
      <c r="E13" s="35" t="n">
        <v>109.96</v>
      </c>
      <c r="F13" s="28" t="n">
        <v>111.622147870961</v>
      </c>
      <c r="G13" s="2">
        <f>F13/F12*100</f>
        <v/>
      </c>
      <c r="H13" s="23">
        <f>AVERAGE(G11:G13)^12/100^11-100</f>
        <v/>
      </c>
      <c r="J13" s="41" t="n"/>
      <c r="K13" s="23" t="n"/>
    </row>
    <row r="14">
      <c r="A14" s="18" t="n">
        <v>40513</v>
      </c>
      <c r="B14" s="1" t="n">
        <v>1.57</v>
      </c>
      <c r="C14" s="2">
        <f>B14+100</f>
        <v/>
      </c>
      <c r="D14" s="21">
        <f>C14*D13/100</f>
        <v/>
      </c>
      <c r="E14" s="35" t="n">
        <v>111.36</v>
      </c>
      <c r="F14" s="28" t="n">
        <v>113.916401794773</v>
      </c>
      <c r="G14" s="2">
        <f>F14/F13*100</f>
        <v/>
      </c>
      <c r="H14" s="23">
        <f>AVERAGE(G12:G14)^12/100^11-100</f>
        <v/>
      </c>
      <c r="J14" s="41" t="n"/>
      <c r="K14" s="23" t="n"/>
    </row>
    <row r="15">
      <c r="A15" s="18" t="n">
        <v>40544</v>
      </c>
      <c r="B15" s="1" t="n">
        <v>2.4</v>
      </c>
      <c r="C15" s="2">
        <f>B15+100</f>
        <v/>
      </c>
      <c r="D15" s="21">
        <f>C15*D14/100</f>
        <v/>
      </c>
      <c r="E15" s="35" t="n">
        <v>112.36</v>
      </c>
      <c r="F15" s="28" t="n">
        <v>114.839552817094</v>
      </c>
      <c r="G15" s="2">
        <f>F15/F14*100</f>
        <v/>
      </c>
      <c r="H15" s="23">
        <f>AVERAGE(G13:G15)^12/100^11-100</f>
        <v/>
      </c>
      <c r="J15" s="41" t="n"/>
      <c r="K15" s="23" t="n"/>
    </row>
    <row r="16">
      <c r="A16" s="18" t="n">
        <v>40575</v>
      </c>
      <c r="B16" s="1" t="n">
        <v>1.06</v>
      </c>
      <c r="C16" s="2">
        <f>B16+100</f>
        <v/>
      </c>
      <c r="D16" s="21">
        <f>C16*D15/100</f>
        <v/>
      </c>
      <c r="E16" s="35" t="n">
        <v>112.21</v>
      </c>
      <c r="F16" s="28" t="n">
        <v>115.901626686182</v>
      </c>
      <c r="G16" s="2">
        <f>F16/F15*100</f>
        <v/>
      </c>
      <c r="H16" s="23">
        <f>AVERAGE(G14:G16)^12/100^11-100</f>
        <v/>
      </c>
      <c r="J16" s="41" t="n"/>
      <c r="K16" s="23" t="n"/>
    </row>
    <row r="17">
      <c r="A17" s="18" t="n">
        <v>40603</v>
      </c>
      <c r="B17" s="1" t="n">
        <v>1.12</v>
      </c>
      <c r="C17" s="2">
        <f>B17+100</f>
        <v/>
      </c>
      <c r="D17" s="21">
        <f>C17*D16/100</f>
        <v/>
      </c>
      <c r="E17" s="35" t="n">
        <v>112.43</v>
      </c>
      <c r="F17" s="28" t="n">
        <v>116.433502031875</v>
      </c>
      <c r="G17" s="2">
        <f>F17/F16*100</f>
        <v/>
      </c>
      <c r="H17" s="23">
        <f>AVERAGE(G15:G17)^12/100^11-100</f>
        <v/>
      </c>
      <c r="J17" s="41" t="n"/>
      <c r="K17" s="23" t="n"/>
    </row>
    <row r="18">
      <c r="A18" s="18" t="n">
        <v>40634</v>
      </c>
      <c r="B18" s="1" t="n">
        <v>0.6</v>
      </c>
      <c r="C18" s="2">
        <f>B18+100</f>
        <v/>
      </c>
      <c r="D18" s="21">
        <f>C18*D17/100</f>
        <v/>
      </c>
      <c r="E18" s="35" t="n">
        <v>112.45</v>
      </c>
      <c r="F18" s="28" t="n">
        <v>116.77930448707</v>
      </c>
      <c r="G18" s="2">
        <f>F18/F17*100</f>
        <v/>
      </c>
      <c r="H18" s="23">
        <f>AVERAGE(G16:G18)^12/100^11-100</f>
        <v/>
      </c>
      <c r="J18" s="41" t="n"/>
      <c r="K18" s="23" t="n"/>
    </row>
    <row r="19">
      <c r="A19" s="18" t="n">
        <v>40664</v>
      </c>
      <c r="B19" s="1" t="n">
        <v>0.31</v>
      </c>
      <c r="C19" s="2">
        <f>B19+100</f>
        <v/>
      </c>
      <c r="D19" s="21">
        <f>C19*D18/100</f>
        <v/>
      </c>
      <c r="E19" s="35" t="n">
        <v>112.08</v>
      </c>
      <c r="F19" s="28" t="n">
        <v>116.592938581294</v>
      </c>
      <c r="G19" s="2">
        <f>F19/F18*100</f>
        <v/>
      </c>
      <c r="H19" s="23">
        <f>AVERAGE(G17:G19)^12/100^11-100</f>
        <v/>
      </c>
      <c r="J19" s="41" t="n"/>
      <c r="K19" s="23" t="n"/>
    </row>
    <row r="20">
      <c r="A20" s="18" t="n">
        <v>40695</v>
      </c>
      <c r="B20" s="1" t="n">
        <v>-0.61</v>
      </c>
      <c r="C20" s="2">
        <f>B20+100</f>
        <v/>
      </c>
      <c r="D20" s="21">
        <f>C20*D19/100</f>
        <v/>
      </c>
      <c r="E20" s="35" t="n">
        <v>110.59</v>
      </c>
      <c r="F20" s="28" t="n">
        <v>116.97036480331</v>
      </c>
      <c r="G20" s="2">
        <f>F20/F19*100</f>
        <v/>
      </c>
      <c r="H20" s="23">
        <f>AVERAGE(G18:G20)^12/100^11-100</f>
        <v/>
      </c>
      <c r="J20" s="41" t="n"/>
      <c r="K20" s="23" t="n"/>
    </row>
    <row r="21">
      <c r="A21" s="18" t="n">
        <v>40725</v>
      </c>
      <c r="B21" s="1" t="n">
        <v>-0.04</v>
      </c>
      <c r="C21" s="2">
        <f>B21+100</f>
        <v/>
      </c>
      <c r="D21" s="21">
        <f>C21*D20/100</f>
        <v/>
      </c>
      <c r="E21" s="35" t="n">
        <v>111.1</v>
      </c>
      <c r="F21" s="28" t="n">
        <v>117.412993212659</v>
      </c>
      <c r="G21" s="2">
        <f>F21/F20*100</f>
        <v/>
      </c>
      <c r="H21" s="23">
        <f>AVERAGE(G19:G21)^12/100^11-100</f>
        <v/>
      </c>
      <c r="J21" s="41" t="n"/>
      <c r="K21" s="23" t="n"/>
    </row>
    <row r="22">
      <c r="A22" s="18" t="n">
        <v>40756</v>
      </c>
      <c r="B22" s="1" t="n">
        <v>-0.18</v>
      </c>
      <c r="C22" s="2">
        <f>B22+100</f>
        <v/>
      </c>
      <c r="D22" s="21">
        <f>C22*D21/100</f>
        <v/>
      </c>
      <c r="E22" s="35" t="n">
        <v>110.37</v>
      </c>
      <c r="F22" s="28" t="n">
        <v>118.173407608148</v>
      </c>
      <c r="G22" s="2">
        <f>F22/F21*100</f>
        <v/>
      </c>
      <c r="H22" s="23">
        <f>AVERAGE(G20:G22)^12/100^11-100</f>
        <v/>
      </c>
      <c r="J22" s="41" t="n"/>
      <c r="K22" s="23" t="n"/>
    </row>
    <row r="23">
      <c r="A23" s="18" t="n">
        <v>40787</v>
      </c>
      <c r="B23" s="1" t="n">
        <v>0.78</v>
      </c>
      <c r="C23" s="2">
        <f>B23+100</f>
        <v/>
      </c>
      <c r="D23" s="21">
        <f>C23*D22/100</f>
        <v/>
      </c>
      <c r="E23" s="35" t="n">
        <v>108.74</v>
      </c>
      <c r="F23" s="28" t="n">
        <v>118.561185419817</v>
      </c>
      <c r="G23" s="2">
        <f>F23/F22*100</f>
        <v/>
      </c>
      <c r="H23" s="23">
        <f>AVERAGE(G21:G23)^12/100^11-100</f>
        <v/>
      </c>
      <c r="J23" s="41" t="n"/>
      <c r="K23" s="23" t="n"/>
    </row>
    <row r="24">
      <c r="A24" s="18" t="n">
        <v>40817</v>
      </c>
      <c r="B24" s="1" t="n">
        <v>0.33</v>
      </c>
      <c r="C24" s="2">
        <f>B24+100</f>
        <v/>
      </c>
      <c r="D24" s="21">
        <f>C24*D23/100</f>
        <v/>
      </c>
      <c r="E24" s="35" t="n">
        <v>108.56</v>
      </c>
      <c r="F24" s="28" t="n">
        <v>119.069175662722</v>
      </c>
      <c r="G24" s="2">
        <f>F24/F23*100</f>
        <v/>
      </c>
      <c r="H24" s="23">
        <f>AVERAGE(G22:G24)^12/100^11-100</f>
        <v/>
      </c>
      <c r="J24" s="41" t="n"/>
      <c r="K24" s="23" t="n"/>
    </row>
    <row r="25">
      <c r="A25" s="18" t="n">
        <v>40848</v>
      </c>
      <c r="B25" s="1" t="n">
        <v>0.46</v>
      </c>
      <c r="C25" s="2">
        <f>B25+100</f>
        <v/>
      </c>
      <c r="D25" s="21">
        <f>C25*D24/100</f>
        <v/>
      </c>
      <c r="E25" s="35" t="n">
        <v>108.07</v>
      </c>
      <c r="F25" s="28" t="n">
        <v>119.116165071551</v>
      </c>
      <c r="G25" s="2">
        <f>F25/F24*100</f>
        <v/>
      </c>
      <c r="H25" s="23">
        <f>AVERAGE(G23:G25)^12/100^11-100</f>
        <v/>
      </c>
      <c r="J25" s="41" t="n"/>
      <c r="K25" s="23" t="n"/>
    </row>
    <row r="26">
      <c r="A26" s="18" t="n">
        <v>40878</v>
      </c>
      <c r="B26" s="1" t="n">
        <v>0.32</v>
      </c>
      <c r="C26" s="2">
        <f>B26+100</f>
        <v/>
      </c>
      <c r="D26" s="21">
        <f>C26*D25/100</f>
        <v/>
      </c>
      <c r="E26" s="35" t="n">
        <v>106.74</v>
      </c>
      <c r="F26" s="28" t="n">
        <v>119.140203080323</v>
      </c>
      <c r="G26" s="2">
        <f>F26/F25*100</f>
        <v/>
      </c>
      <c r="H26" s="23">
        <f>AVERAGE(G24:G26)^12/100^11-100</f>
        <v/>
      </c>
      <c r="J26" s="41" t="n"/>
      <c r="K26" s="23" t="n"/>
    </row>
    <row r="27">
      <c r="A27" s="18" t="n">
        <v>40909</v>
      </c>
      <c r="B27" s="1" t="n">
        <v>0.33</v>
      </c>
      <c r="C27" s="2">
        <f>B27+100</f>
        <v/>
      </c>
      <c r="D27" s="21">
        <f>C27*D26/100</f>
        <v/>
      </c>
      <c r="E27" s="35" t="n">
        <v>104.58</v>
      </c>
      <c r="F27" s="28" t="n">
        <v>120.069920920964</v>
      </c>
      <c r="G27" s="2">
        <f>F27/F26*100</f>
        <v/>
      </c>
      <c r="H27" s="23">
        <f>AVERAGE(G25:G27)^12/100^11-100</f>
        <v/>
      </c>
      <c r="J27" s="41" t="n"/>
      <c r="K27" s="23" t="n"/>
    </row>
    <row r="28">
      <c r="A28" s="18" t="n">
        <v>40940</v>
      </c>
      <c r="B28" s="1" t="n">
        <v>1.02</v>
      </c>
      <c r="C28" s="2">
        <f>B28+100</f>
        <v/>
      </c>
      <c r="D28" s="21">
        <f>C28*D27/100</f>
        <v/>
      </c>
      <c r="E28" s="35" t="n">
        <v>104.53</v>
      </c>
      <c r="F28" s="28" t="n">
        <v>120.656457176234</v>
      </c>
      <c r="G28" s="2">
        <f>F28/F27*100</f>
        <v/>
      </c>
      <c r="H28" s="23">
        <f>AVERAGE(G26:G28)^12/100^11-100</f>
        <v/>
      </c>
      <c r="J28" s="41" t="n"/>
      <c r="K28" s="23" t="n"/>
    </row>
    <row r="29">
      <c r="A29" s="18" t="n">
        <v>40969</v>
      </c>
      <c r="B29" s="1" t="n">
        <v>0.68</v>
      </c>
      <c r="C29" s="2">
        <f>B29+100</f>
        <v/>
      </c>
      <c r="D29" s="21">
        <f>C29*D28/100</f>
        <v/>
      </c>
      <c r="E29" s="35" t="n">
        <v>104.08</v>
      </c>
      <c r="F29" s="28" t="n">
        <v>120.971955251072</v>
      </c>
      <c r="G29" s="2">
        <f>F29/F28*100</f>
        <v/>
      </c>
      <c r="H29" s="23">
        <f>AVERAGE(G27:G29)^12/100^11-100</f>
        <v/>
      </c>
      <c r="J29" s="41" t="n"/>
      <c r="K29" s="23" t="n"/>
    </row>
    <row r="30">
      <c r="A30" s="18" t="n">
        <v>41000</v>
      </c>
      <c r="B30" s="1" t="n">
        <v>0.42</v>
      </c>
      <c r="C30" s="2">
        <f>B30+100</f>
        <v/>
      </c>
      <c r="D30" s="21">
        <f>C30*D29/100</f>
        <v/>
      </c>
      <c r="E30" s="35" t="n">
        <v>103.89</v>
      </c>
      <c r="F30" s="28" t="n">
        <v>122.538364253939</v>
      </c>
      <c r="G30" s="2">
        <f>F30/F29*100</f>
        <v/>
      </c>
      <c r="H30" s="23">
        <f>AVERAGE(G28:G30)^12/100^11-100</f>
        <v/>
      </c>
      <c r="J30" s="41" t="n"/>
      <c r="K30" s="23" t="n"/>
    </row>
    <row r="31">
      <c r="A31" s="18" t="n">
        <v>41030</v>
      </c>
      <c r="B31" s="1" t="n">
        <v>1.32</v>
      </c>
      <c r="C31" s="2">
        <f>B31+100</f>
        <v/>
      </c>
      <c r="D31" s="21">
        <f>C31*D30/100</f>
        <v/>
      </c>
      <c r="E31" s="35" t="n">
        <v>104.93</v>
      </c>
      <c r="F31" s="28" t="n">
        <v>123.758057872073</v>
      </c>
      <c r="G31" s="2">
        <f>F31/F30*100</f>
        <v/>
      </c>
      <c r="H31" s="23">
        <f>AVERAGE(G29:G31)^12/100^11-100</f>
        <v/>
      </c>
      <c r="J31" s="41" t="n"/>
      <c r="K31" s="23" t="n"/>
    </row>
    <row r="32">
      <c r="A32" s="18" t="n">
        <v>41061</v>
      </c>
      <c r="B32" s="1" t="n">
        <v>0.55</v>
      </c>
      <c r="C32" s="2">
        <f>B32+100</f>
        <v/>
      </c>
      <c r="D32" s="21">
        <f>C32*D31/100</f>
        <v/>
      </c>
      <c r="E32" s="35" t="n">
        <v>106.15</v>
      </c>
      <c r="F32" s="28" t="n">
        <v>126.169998160195</v>
      </c>
      <c r="G32" s="2">
        <f>F32/F31*100</f>
        <v/>
      </c>
      <c r="H32" s="23">
        <f>AVERAGE(G30:G32)^12/100^11-100</f>
        <v/>
      </c>
      <c r="J32" s="41" t="n"/>
      <c r="K32" s="23" t="n"/>
    </row>
    <row r="33">
      <c r="A33" s="18" t="n">
        <v>41091</v>
      </c>
      <c r="B33" s="1" t="n">
        <v>1.61</v>
      </c>
      <c r="C33" s="2">
        <f>B33+100</f>
        <v/>
      </c>
      <c r="D33" s="21">
        <f>C33*D32/100</f>
        <v/>
      </c>
      <c r="E33" s="35" t="n">
        <v>107.9</v>
      </c>
      <c r="F33" s="28" t="n">
        <v>126.976984874009</v>
      </c>
      <c r="G33" s="2">
        <f>F33/F32*100</f>
        <v/>
      </c>
      <c r="H33" s="23">
        <f>AVERAGE(G31:G33)^12/100^11-100</f>
        <v/>
      </c>
      <c r="J33" s="41" t="n"/>
      <c r="K33" s="23" t="n"/>
    </row>
    <row r="34">
      <c r="A34" s="18" t="n">
        <v>41122</v>
      </c>
      <c r="B34" s="1" t="n">
        <v>0.08</v>
      </c>
      <c r="C34" s="2">
        <f>B34+100</f>
        <v/>
      </c>
      <c r="D34" s="21">
        <f>C34*D33/100</f>
        <v/>
      </c>
      <c r="E34" s="35" t="n">
        <v>108.18</v>
      </c>
      <c r="F34" s="28" t="n">
        <v>127.391656577379</v>
      </c>
      <c r="G34" s="2">
        <f>F34/F33*100</f>
        <v/>
      </c>
      <c r="H34" s="23">
        <f>AVERAGE(G32:G34)^12/100^11-100</f>
        <v/>
      </c>
      <c r="J34" s="41" t="n"/>
      <c r="K34" s="23" t="n"/>
    </row>
    <row r="35">
      <c r="A35" s="18" t="n">
        <v>41153</v>
      </c>
      <c r="B35" s="1" t="n">
        <v>0.42</v>
      </c>
      <c r="C35" s="2">
        <f>B35+100</f>
        <v/>
      </c>
      <c r="D35" s="21">
        <f>C35*D34/100</f>
        <v/>
      </c>
      <c r="E35" s="35" t="n">
        <v>107.79</v>
      </c>
      <c r="F35" s="28" t="n">
        <v>127.953638479688</v>
      </c>
      <c r="G35" s="2">
        <f>F35/F34*100</f>
        <v/>
      </c>
      <c r="H35" s="23">
        <f>AVERAGE(G33:G35)^12/100^11-100</f>
        <v/>
      </c>
      <c r="J35" s="41" t="n"/>
      <c r="K35" s="23" t="n"/>
    </row>
    <row r="36">
      <c r="A36" s="18" t="n">
        <v>41183</v>
      </c>
      <c r="B36" s="1" t="n">
        <v>0.46</v>
      </c>
      <c r="C36" s="2">
        <f>B36+100</f>
        <v/>
      </c>
      <c r="D36" s="21">
        <f>C36*D35/100</f>
        <v/>
      </c>
      <c r="E36" s="35" t="n">
        <v>107.93</v>
      </c>
      <c r="F36" s="28" t="n">
        <v>128.804892261993</v>
      </c>
      <c r="G36" s="2">
        <f>F36/F35*100</f>
        <v/>
      </c>
      <c r="H36" s="23">
        <f>AVERAGE(G34:G36)^12/100^11-100</f>
        <v/>
      </c>
      <c r="J36" s="41" t="n"/>
      <c r="K36" s="23" t="n"/>
    </row>
    <row r="37">
      <c r="A37" s="18" t="n">
        <v>41214</v>
      </c>
      <c r="B37" s="1" t="n">
        <v>0.7</v>
      </c>
      <c r="C37" s="2">
        <f>B37+100</f>
        <v/>
      </c>
      <c r="D37" s="21">
        <f>C37*D36/100</f>
        <v/>
      </c>
      <c r="E37" s="35" t="n">
        <v>108.18</v>
      </c>
      <c r="F37" s="28" t="n">
        <v>129.520728204266</v>
      </c>
      <c r="G37" s="2">
        <f>F37/F36*100</f>
        <v/>
      </c>
      <c r="H37" s="23">
        <f>AVERAGE(G35:G37)^12/100^11-100</f>
        <v/>
      </c>
      <c r="J37" s="41" t="n"/>
      <c r="K37" s="23" t="n"/>
    </row>
    <row r="38">
      <c r="A38" s="18" t="n">
        <v>41244</v>
      </c>
      <c r="B38" s="1" t="n">
        <v>0.84</v>
      </c>
      <c r="C38" s="2">
        <f>B38+100</f>
        <v/>
      </c>
      <c r="D38" s="21">
        <f>C38*D37/100</f>
        <v/>
      </c>
      <c r="E38" s="35" t="n">
        <v>108.75</v>
      </c>
      <c r="F38" s="28" t="n">
        <v>130.105497620703</v>
      </c>
      <c r="G38" s="2">
        <f>F38/F37*100</f>
        <v/>
      </c>
      <c r="H38" s="23">
        <f>AVERAGE(G36:G38)^12/100^11-100</f>
        <v/>
      </c>
      <c r="J38" s="41" t="n"/>
      <c r="K38" s="23" t="n"/>
    </row>
    <row r="39">
      <c r="A39" s="18" t="n">
        <v>41275</v>
      </c>
      <c r="B39" s="1" t="n">
        <v>0.74</v>
      </c>
      <c r="C39" s="2">
        <f>B39+100</f>
        <v/>
      </c>
      <c r="D39" s="21">
        <f>C39*D38/100</f>
        <v/>
      </c>
      <c r="E39" s="35" t="n">
        <v>109.19</v>
      </c>
      <c r="F39" s="28" t="n">
        <v>130.474690817882</v>
      </c>
      <c r="G39" s="2">
        <f>F39/F38*100</f>
        <v/>
      </c>
      <c r="H39" s="23">
        <f>AVERAGE(G37:G39)^12/100^11-100</f>
        <v/>
      </c>
      <c r="J39" s="41" t="n"/>
      <c r="K39" s="23" t="n"/>
    </row>
    <row r="40">
      <c r="A40" s="18" t="n">
        <v>41306</v>
      </c>
      <c r="B40" s="1" t="n">
        <v>0.51</v>
      </c>
      <c r="C40" s="2">
        <f>B40+100</f>
        <v/>
      </c>
      <c r="D40" s="21">
        <f>C40*D39/100</f>
        <v/>
      </c>
      <c r="E40" s="35" t="n">
        <v>108.64</v>
      </c>
      <c r="F40" s="28" t="n">
        <v>130.879124689466</v>
      </c>
      <c r="G40" s="2">
        <f>F40/F39*100</f>
        <v/>
      </c>
      <c r="H40" s="23">
        <f>AVERAGE(G38:G40)^12/100^11-100</f>
        <v/>
      </c>
      <c r="J40" s="41" t="n"/>
      <c r="K40" s="23" t="n"/>
    </row>
    <row r="41">
      <c r="A41" s="18" t="n">
        <v>41334</v>
      </c>
      <c r="B41" s="1" t="n">
        <v>0.5</v>
      </c>
      <c r="C41" s="2">
        <f>B41+100</f>
        <v/>
      </c>
      <c r="D41" s="21">
        <f>C41*D40/100</f>
        <v/>
      </c>
      <c r="E41" s="35" t="n">
        <v>108.45</v>
      </c>
      <c r="F41" s="28" t="n">
        <v>132.275226618188</v>
      </c>
      <c r="G41" s="2">
        <f>F41/F40*100</f>
        <v/>
      </c>
      <c r="H41" s="23">
        <f>AVERAGE(G39:G41)^12/100^11-100</f>
        <v/>
      </c>
      <c r="J41" s="41" t="n"/>
      <c r="K41" s="23" t="n"/>
    </row>
    <row r="42">
      <c r="A42" s="18" t="n">
        <v>41365</v>
      </c>
      <c r="B42" s="1" t="n">
        <v>1.25</v>
      </c>
      <c r="C42" s="2">
        <f>B42+100</f>
        <v/>
      </c>
      <c r="D42" s="21">
        <f>C42*D41/100</f>
        <v/>
      </c>
      <c r="E42" s="35" t="n">
        <v>109.34</v>
      </c>
      <c r="F42" s="28" t="n">
        <v>134.151951431772</v>
      </c>
      <c r="G42" s="2">
        <f>F42/F41*100</f>
        <v/>
      </c>
      <c r="H42" s="23">
        <f>AVERAGE(G40:G42)^12/100^11-100</f>
        <v/>
      </c>
      <c r="J42" s="41" t="n"/>
      <c r="K42" s="23" t="n"/>
    </row>
    <row r="43">
      <c r="A43" s="18" t="n">
        <v>41395</v>
      </c>
      <c r="B43" s="1" t="n">
        <v>1.44</v>
      </c>
      <c r="C43" s="2">
        <f>B43+100</f>
        <v/>
      </c>
      <c r="D43" s="21">
        <f>C43*D42/100</f>
        <v/>
      </c>
      <c r="E43" s="35" t="n">
        <v>109.47</v>
      </c>
      <c r="F43" s="28" t="n">
        <v>134.862948415173</v>
      </c>
      <c r="G43" s="2">
        <f>F43/F42*100</f>
        <v/>
      </c>
      <c r="H43" s="23">
        <f>AVERAGE(G41:G43)^12/100^11-100</f>
        <v/>
      </c>
      <c r="J43" s="41" t="n"/>
      <c r="K43" s="23" t="n"/>
    </row>
    <row r="44">
      <c r="A44" s="18" t="n">
        <v>41426</v>
      </c>
      <c r="B44" s="1" t="n">
        <v>0.09</v>
      </c>
      <c r="C44" s="2">
        <f>B44+100</f>
        <v/>
      </c>
      <c r="D44" s="21">
        <f>C44*D43/100</f>
        <v/>
      </c>
      <c r="E44" s="35" t="n">
        <v>108.97</v>
      </c>
      <c r="F44" s="28" t="n">
        <v>136.094837744436</v>
      </c>
      <c r="G44" s="2">
        <f>F44/F43*100</f>
        <v/>
      </c>
      <c r="H44" s="23">
        <f>AVERAGE(G42:G44)^12/100^11-100</f>
        <v/>
      </c>
      <c r="J44" s="41" t="n"/>
      <c r="K44" s="23" t="n"/>
    </row>
    <row r="45">
      <c r="A45" s="18" t="n">
        <v>41456</v>
      </c>
      <c r="B45" s="1" t="n">
        <v>0.58</v>
      </c>
      <c r="C45" s="2">
        <f>B45+100</f>
        <v/>
      </c>
      <c r="D45" s="21">
        <f>C45*D44/100</f>
        <v/>
      </c>
      <c r="E45" s="35" t="n">
        <v>107.87</v>
      </c>
      <c r="F45" s="28" t="n">
        <v>136.33298386876</v>
      </c>
      <c r="G45" s="2">
        <f>F45/F44*100</f>
        <v/>
      </c>
      <c r="H45" s="23">
        <f>AVERAGE(G43:G45)^12/100^11-100</f>
        <v/>
      </c>
      <c r="J45" s="41" t="n"/>
      <c r="K45" s="23" t="n"/>
    </row>
    <row r="46">
      <c r="A46" s="18" t="n">
        <v>41487</v>
      </c>
      <c r="B46" s="1" t="n">
        <v>-0.38</v>
      </c>
      <c r="C46" s="2">
        <f>B46+100</f>
        <v/>
      </c>
      <c r="D46" s="21">
        <f>C46*D45/100</f>
        <v/>
      </c>
      <c r="E46" s="35" t="n">
        <v>107.38</v>
      </c>
      <c r="F46" s="28" t="n">
        <v>136.475585417895</v>
      </c>
      <c r="G46" s="2">
        <f>F46/F45*100</f>
        <v/>
      </c>
      <c r="H46" s="23">
        <f>AVERAGE(G44:G46)^12/100^11-100</f>
        <v/>
      </c>
      <c r="J46" s="41" t="n"/>
      <c r="K46" s="23" t="n"/>
    </row>
    <row r="47">
      <c r="A47" s="18" t="n">
        <v>41518</v>
      </c>
      <c r="B47" s="1" t="n">
        <v>0.17</v>
      </c>
      <c r="C47" s="2">
        <f>B47+100</f>
        <v/>
      </c>
      <c r="D47" s="21">
        <f>C47*D46/100</f>
        <v/>
      </c>
      <c r="E47" s="35" t="n">
        <v>107.11</v>
      </c>
      <c r="F47" s="28" t="n">
        <v>137.825117491303</v>
      </c>
      <c r="G47" s="2">
        <f>F47/F46*100</f>
        <v/>
      </c>
      <c r="H47" s="23">
        <f>AVERAGE(G45:G47)^12/100^11-100</f>
        <v/>
      </c>
      <c r="J47" s="41" t="n"/>
      <c r="K47" s="23" t="n"/>
    </row>
    <row r="48">
      <c r="A48" s="18" t="n">
        <v>41548</v>
      </c>
      <c r="B48" s="1" t="n">
        <v>1.03</v>
      </c>
      <c r="C48" s="2">
        <f>B48+100</f>
        <v/>
      </c>
      <c r="D48" s="21">
        <f>C48*D47/100</f>
        <v/>
      </c>
      <c r="E48" s="35" t="n">
        <v>107.71</v>
      </c>
      <c r="F48" s="28" t="n">
        <v>138.638952910476</v>
      </c>
      <c r="G48" s="2">
        <f>F48/F47*100</f>
        <v/>
      </c>
      <c r="H48" s="23">
        <f>AVERAGE(G46:G48)^12/100^11-100</f>
        <v/>
      </c>
      <c r="J48" s="41" t="n"/>
      <c r="K48" s="23" t="n"/>
    </row>
    <row r="49">
      <c r="A49" s="18" t="n">
        <v>41579</v>
      </c>
      <c r="B49" s="1" t="n">
        <v>0.63</v>
      </c>
      <c r="C49" s="2">
        <f>B49+100</f>
        <v/>
      </c>
      <c r="D49" s="21">
        <f>C49*D48/100</f>
        <v/>
      </c>
      <c r="E49" s="35" t="n">
        <v>107.64</v>
      </c>
      <c r="F49" s="28" t="n">
        <v>139.206343438193</v>
      </c>
      <c r="G49" s="2">
        <f>F49/F48*100</f>
        <v/>
      </c>
      <c r="H49" s="23">
        <f>AVERAGE(G47:G49)^12/100^11-100</f>
        <v/>
      </c>
      <c r="J49" s="41" t="n"/>
      <c r="K49" s="23" t="n"/>
    </row>
    <row r="50">
      <c r="A50" s="18" t="n">
        <v>41609</v>
      </c>
      <c r="B50" s="1" t="n">
        <v>0.7</v>
      </c>
      <c r="C50" s="2">
        <f>B50+100</f>
        <v/>
      </c>
      <c r="D50" s="21">
        <f>C50*D49/100</f>
        <v/>
      </c>
      <c r="E50" s="35" t="n">
        <v>107.49</v>
      </c>
      <c r="F50" s="28" t="n">
        <v>139.046275077763</v>
      </c>
      <c r="G50" s="2">
        <f>F50/F49*100</f>
        <v/>
      </c>
      <c r="H50" s="23">
        <f>AVERAGE(G48:G50)^12/100^11-100</f>
        <v/>
      </c>
      <c r="J50" s="41" t="n"/>
      <c r="K50" s="23" t="n"/>
    </row>
    <row r="51">
      <c r="A51" s="18" t="n">
        <v>41640</v>
      </c>
      <c r="B51" s="1" t="n">
        <v>0.16</v>
      </c>
      <c r="C51" s="2">
        <f>B51+100</f>
        <v/>
      </c>
      <c r="D51" s="21">
        <f>C51*D50/100</f>
        <v/>
      </c>
      <c r="E51" s="35" t="n">
        <v>106.87</v>
      </c>
      <c r="F51" s="28" t="n">
        <v>139.598836663309</v>
      </c>
      <c r="G51" s="2">
        <f>F51/F50*100</f>
        <v/>
      </c>
      <c r="H51" s="23">
        <f>AVERAGE(G49:G51)^12/100^11-100</f>
        <v/>
      </c>
      <c r="J51" s="41" t="n"/>
      <c r="K51" s="23" t="n"/>
    </row>
    <row r="52">
      <c r="A52" s="18" t="n">
        <v>41671</v>
      </c>
      <c r="B52" s="1" t="n">
        <v>0.62</v>
      </c>
      <c r="C52" s="2">
        <f>B52+100</f>
        <v/>
      </c>
      <c r="D52" s="21">
        <f>C52*D51/100</f>
        <v/>
      </c>
      <c r="E52" s="35" t="n">
        <v>106.99</v>
      </c>
      <c r="F52" s="28" t="n">
        <v>140.664877718967</v>
      </c>
      <c r="G52" s="2">
        <f>F52/F51*100</f>
        <v/>
      </c>
      <c r="H52" s="23">
        <f>AVERAGE(G50:G52)^12/100^11-100</f>
        <v/>
      </c>
      <c r="J52" s="41" t="n"/>
      <c r="K52" s="23" t="n"/>
    </row>
    <row r="53">
      <c r="A53" s="18" t="n">
        <v>41699</v>
      </c>
      <c r="B53" s="1" t="n">
        <v>0.96</v>
      </c>
      <c r="C53" s="2">
        <f>B53+100</f>
        <v/>
      </c>
      <c r="D53" s="21">
        <f>C53*D52/100</f>
        <v/>
      </c>
      <c r="E53" s="35" t="n">
        <v>107.48</v>
      </c>
      <c r="F53" s="28" t="n">
        <v>141.272204622293</v>
      </c>
      <c r="G53" s="2">
        <f>F53/F52*100</f>
        <v/>
      </c>
      <c r="H53" s="23">
        <f>AVERAGE(G51:G53)^12/100^11-100</f>
        <v/>
      </c>
      <c r="J53" s="41" t="n"/>
      <c r="K53" s="23" t="n"/>
    </row>
    <row r="54">
      <c r="A54" s="18" t="n">
        <v>41730</v>
      </c>
      <c r="B54" s="1" t="n">
        <v>0.63</v>
      </c>
      <c r="C54" s="2">
        <f>B54+100</f>
        <v/>
      </c>
      <c r="D54" s="21">
        <f>C54*D53/100</f>
        <v/>
      </c>
      <c r="E54" s="35" t="n">
        <v>106.82</v>
      </c>
      <c r="F54" s="28" t="n">
        <v>142.196781683449</v>
      </c>
      <c r="G54" s="2">
        <f>F54/F53*100</f>
        <v/>
      </c>
      <c r="H54" s="23">
        <f>AVERAGE(G52:G54)^12/100^11-100</f>
        <v/>
      </c>
      <c r="J54" s="41" t="n"/>
      <c r="K54" s="23" t="n"/>
    </row>
    <row r="55">
      <c r="A55" s="18" t="n">
        <v>41760</v>
      </c>
      <c r="B55" s="1" t="n">
        <v>0.65</v>
      </c>
      <c r="C55" s="2">
        <f>B55+100</f>
        <v/>
      </c>
      <c r="D55" s="21">
        <f>C55*D54/100</f>
        <v/>
      </c>
      <c r="E55" s="35" t="n">
        <v>106</v>
      </c>
      <c r="F55" s="28" t="n">
        <v>142.831706200988</v>
      </c>
      <c r="G55" s="2">
        <f>F55/F54*100</f>
        <v/>
      </c>
      <c r="H55" s="23">
        <f>AVERAGE(G53:G55)^12/100^11-100</f>
        <v/>
      </c>
      <c r="J55" s="41" t="n"/>
      <c r="K55" s="23" t="n"/>
    </row>
    <row r="56">
      <c r="A56" s="18" t="n">
        <v>41791</v>
      </c>
      <c r="B56" s="1" t="n">
        <v>0.01</v>
      </c>
      <c r="C56" s="2">
        <f>B56+100</f>
        <v/>
      </c>
      <c r="D56" s="21">
        <f>C56*D55/100</f>
        <v/>
      </c>
      <c r="E56" s="35" t="n">
        <v>105.92</v>
      </c>
      <c r="F56" s="28" t="n">
        <v>143.288461622027</v>
      </c>
      <c r="G56" s="2">
        <f>F56/F55*100</f>
        <v/>
      </c>
      <c r="H56" s="23">
        <f>AVERAGE(G54:G56)^12/100^11-100</f>
        <v/>
      </c>
      <c r="J56" s="41" t="n"/>
      <c r="K56" s="23" t="n"/>
    </row>
    <row r="57">
      <c r="A57" s="18" t="n">
        <v>41821</v>
      </c>
      <c r="B57" s="1" t="n">
        <v>-0.02</v>
      </c>
      <c r="C57" s="2">
        <f>B57+100</f>
        <v/>
      </c>
      <c r="D57" s="21">
        <f>C57*D56/100</f>
        <v/>
      </c>
      <c r="E57" s="35" t="n">
        <v>105.28</v>
      </c>
      <c r="F57" s="28" t="n">
        <v>144.67725602059</v>
      </c>
      <c r="G57" s="2">
        <f>F57/F56*100</f>
        <v/>
      </c>
      <c r="H57" s="23">
        <f>AVERAGE(G55:G57)^12/100^11-100</f>
        <v/>
      </c>
      <c r="J57" s="41" t="n"/>
      <c r="K57" s="23" t="n"/>
    </row>
    <row r="58">
      <c r="A58" s="18" t="n">
        <v>41852</v>
      </c>
      <c r="B58" s="1" t="n">
        <v>0.42</v>
      </c>
      <c r="C58" s="2">
        <f>B58+100</f>
        <v/>
      </c>
      <c r="D58" s="21">
        <f>C58*D57/100</f>
        <v/>
      </c>
      <c r="E58" s="35" t="n">
        <v>106.13</v>
      </c>
      <c r="F58" s="28" t="n">
        <v>146.376029413204</v>
      </c>
      <c r="G58" s="2">
        <f>F58/F57*100</f>
        <v/>
      </c>
      <c r="H58" s="23">
        <f>AVERAGE(G56:G58)^12/100^11-100</f>
        <v/>
      </c>
      <c r="J58" s="41" t="n"/>
      <c r="K58" s="23" t="n"/>
    </row>
    <row r="59">
      <c r="A59" s="18" t="n">
        <v>41883</v>
      </c>
      <c r="B59" s="1" t="n">
        <v>1.22</v>
      </c>
      <c r="C59" s="2">
        <f>B59+100</f>
        <v/>
      </c>
      <c r="D59" s="21">
        <f>C59*D58/100</f>
        <v/>
      </c>
      <c r="E59" s="35" t="n">
        <v>107.23</v>
      </c>
      <c r="F59" s="28" t="n">
        <v>147.172633854126</v>
      </c>
      <c r="G59" s="2">
        <f>F59/F58*100</f>
        <v/>
      </c>
      <c r="H59" s="23">
        <f>AVERAGE(G57:G59)^12/100^11-100</f>
        <v/>
      </c>
      <c r="J59" s="41" t="n"/>
      <c r="K59" s="23" t="n"/>
    </row>
    <row r="60">
      <c r="A60" s="18" t="n">
        <v>41913</v>
      </c>
      <c r="B60" s="1" t="n">
        <v>0.6</v>
      </c>
      <c r="C60" s="2">
        <f>B60+100</f>
        <v/>
      </c>
      <c r="D60" s="21">
        <f>C60*D59/100</f>
        <v/>
      </c>
      <c r="E60" s="35" t="n">
        <v>106.78</v>
      </c>
      <c r="F60" s="28" t="n">
        <v>148.554767574429</v>
      </c>
      <c r="G60" s="2">
        <f>F60/F59*100</f>
        <v/>
      </c>
      <c r="H60" s="23">
        <f>AVERAGE(G58:G60)^12/100^11-100</f>
        <v/>
      </c>
      <c r="J60" s="41" t="n"/>
      <c r="K60" s="23" t="n"/>
    </row>
    <row r="61">
      <c r="A61" s="18" t="n">
        <v>41944</v>
      </c>
      <c r="B61" s="1" t="n">
        <v>0.98</v>
      </c>
      <c r="C61" s="2">
        <f>B61+100</f>
        <v/>
      </c>
      <c r="D61" s="21">
        <f>C61*D60/100</f>
        <v/>
      </c>
      <c r="E61" s="35" t="n">
        <v>107.15</v>
      </c>
      <c r="F61" s="28" t="n">
        <v>150.98827521316</v>
      </c>
      <c r="G61" s="2">
        <f>F61/F60*100</f>
        <v/>
      </c>
      <c r="H61" s="23">
        <f>AVERAGE(G59:G61)^12/100^11-100</f>
        <v/>
      </c>
      <c r="J61" s="41" t="n"/>
      <c r="K61" s="23" t="n"/>
    </row>
    <row r="62">
      <c r="A62" s="18" t="n">
        <v>41974</v>
      </c>
      <c r="B62" s="1" t="n">
        <v>1.94</v>
      </c>
      <c r="C62" s="2">
        <f>B62+100</f>
        <v/>
      </c>
      <c r="D62" s="21">
        <f>C62*D61/100</f>
        <v/>
      </c>
      <c r="E62" s="35" t="n">
        <v>108.46</v>
      </c>
      <c r="F62" s="28" t="n">
        <v>156.758170118504</v>
      </c>
      <c r="G62" s="2">
        <f>F62/F61*100</f>
        <v/>
      </c>
      <c r="H62" s="23">
        <f>AVERAGE(G60:G62)^12/100^11-100</f>
        <v/>
      </c>
      <c r="J62" s="41" t="n"/>
      <c r="K62" s="23" t="n"/>
    </row>
    <row r="63">
      <c r="A63" s="18" t="n">
        <v>42005</v>
      </c>
      <c r="B63" s="1" t="n">
        <v>4.11</v>
      </c>
      <c r="C63" s="2">
        <f>B63+100</f>
        <v/>
      </c>
      <c r="D63" s="21">
        <f>C63*D62/100</f>
        <v/>
      </c>
      <c r="E63" s="35" t="n">
        <v>112.74</v>
      </c>
      <c r="F63" s="28" t="n">
        <v>161.117613625592</v>
      </c>
      <c r="G63" s="2">
        <f>F63/F62*100</f>
        <v/>
      </c>
      <c r="H63" s="23">
        <f>AVERAGE(G61:G63)^12/100^11-100</f>
        <v/>
      </c>
      <c r="J63" s="41" t="n"/>
      <c r="K63" s="23" t="n"/>
    </row>
    <row r="64">
      <c r="A64" s="18" t="n">
        <v>42036</v>
      </c>
      <c r="B64" s="1" t="n">
        <v>3.01</v>
      </c>
      <c r="C64" s="2">
        <f>B64+100</f>
        <v/>
      </c>
      <c r="D64" s="21">
        <f>C64*D63/100</f>
        <v/>
      </c>
      <c r="E64" s="35" t="n">
        <v>115.41</v>
      </c>
      <c r="F64" s="28" t="n">
        <v>163.892811032649</v>
      </c>
      <c r="G64" s="2">
        <f>F64/F63*100</f>
        <v/>
      </c>
      <c r="H64" s="23">
        <f>AVERAGE(G62:G64)^12/100^11-100</f>
        <v/>
      </c>
      <c r="J64" s="41" t="n"/>
      <c r="K64" s="23" t="n"/>
    </row>
    <row r="65">
      <c r="A65" s="18" t="n">
        <v>42064</v>
      </c>
      <c r="B65" s="1" t="n">
        <v>1.92</v>
      </c>
      <c r="C65" s="2">
        <f>B65+100</f>
        <v/>
      </c>
      <c r="D65" s="21">
        <f>C65*D64/100</f>
        <v/>
      </c>
      <c r="E65" s="35" t="n">
        <v>116.51</v>
      </c>
      <c r="F65" s="28" t="n">
        <v>165.569763055655</v>
      </c>
      <c r="G65" s="2">
        <f>F65/F64*100</f>
        <v/>
      </c>
      <c r="H65" s="23">
        <f>AVERAGE(G63:G65)^12/100^11-100</f>
        <v/>
      </c>
      <c r="J65" s="41" t="n"/>
      <c r="K65" s="23" t="n"/>
    </row>
    <row r="66">
      <c r="A66" s="18" t="n">
        <v>42095</v>
      </c>
      <c r="B66" s="1" t="n">
        <v>1.24</v>
      </c>
      <c r="C66" s="2">
        <f>B66+100</f>
        <v/>
      </c>
      <c r="D66" s="21">
        <f>C66*D65/100</f>
        <v/>
      </c>
      <c r="E66" s="35" t="n">
        <v>117.22</v>
      </c>
      <c r="F66" s="28" t="n">
        <v>166.234925782537</v>
      </c>
      <c r="G66" s="2">
        <f>F66/F65*100</f>
        <v/>
      </c>
      <c r="H66" s="23">
        <f>AVERAGE(G64:G66)^12/100^11-100</f>
        <v/>
      </c>
      <c r="J66" s="41" t="n"/>
      <c r="K66" s="23" t="n"/>
    </row>
    <row r="67">
      <c r="A67" s="18" t="n">
        <v>42125</v>
      </c>
      <c r="B67" s="1" t="n">
        <v>0.37</v>
      </c>
      <c r="C67" s="2">
        <f>B67+100</f>
        <v/>
      </c>
      <c r="D67" s="21">
        <f>C67*D66/100</f>
        <v/>
      </c>
      <c r="E67" s="35" t="n">
        <v>116.89</v>
      </c>
      <c r="F67" s="28" t="n">
        <v>166.472082263941</v>
      </c>
      <c r="G67" s="2">
        <f>F67/F66*100</f>
        <v/>
      </c>
      <c r="H67" s="23">
        <f>AVERAGE(G65:G67)^12/100^11-100</f>
        <v/>
      </c>
      <c r="J67" s="41" t="n"/>
      <c r="K67" s="23" t="n"/>
    </row>
    <row r="68">
      <c r="A68" s="18" t="n">
        <v>42156</v>
      </c>
      <c r="B68" s="1" t="n">
        <v>-0.28</v>
      </c>
      <c r="C68" s="2">
        <f>B68+100</f>
        <v/>
      </c>
      <c r="D68" s="21">
        <f>C68*D67/100</f>
        <v/>
      </c>
      <c r="E68" s="35" t="n">
        <v>116.55</v>
      </c>
      <c r="F68" s="28" t="n">
        <v>167.591769691186</v>
      </c>
      <c r="G68" s="2">
        <f>F68/F67*100</f>
        <v/>
      </c>
      <c r="H68" s="23">
        <f>AVERAGE(G66:G68)^12/100^11-100</f>
        <v/>
      </c>
      <c r="J68" s="41" t="n"/>
      <c r="K68" s="23" t="n"/>
    </row>
    <row r="69">
      <c r="A69" s="18" t="n">
        <v>42186</v>
      </c>
      <c r="B69" s="1" t="n">
        <v>0.33</v>
      </c>
      <c r="C69" s="2">
        <f>B69+100</f>
        <v/>
      </c>
      <c r="D69" s="21">
        <f>C69*D68/100</f>
        <v/>
      </c>
      <c r="E69" s="35" t="n">
        <v>116.96</v>
      </c>
      <c r="F69" s="28" t="n">
        <v>169.238821615387</v>
      </c>
      <c r="G69" s="2">
        <f>F69/F68*100</f>
        <v/>
      </c>
      <c r="H69" s="23">
        <f>AVERAGE(G67:G69)^12/100^11-100</f>
        <v/>
      </c>
      <c r="J69" s="41" t="n"/>
      <c r="K69" s="23" t="n"/>
    </row>
    <row r="70">
      <c r="A70" s="18" t="n">
        <v>42217</v>
      </c>
      <c r="B70" s="1" t="n">
        <v>0.44</v>
      </c>
      <c r="C70" s="2">
        <f>B70+100</f>
        <v/>
      </c>
      <c r="D70" s="21">
        <f>C70*D69/100</f>
        <v/>
      </c>
      <c r="E70" s="35" t="n">
        <v>116.99</v>
      </c>
      <c r="F70" s="28" t="n">
        <v>170.89756458325</v>
      </c>
      <c r="G70" s="2">
        <f>F70/F69*100</f>
        <v/>
      </c>
      <c r="H70" s="23">
        <f>AVERAGE(G68:G70)^12/100^11-100</f>
        <v/>
      </c>
      <c r="J70" s="41" t="n"/>
      <c r="K70" s="23" t="n"/>
    </row>
    <row r="71">
      <c r="A71" s="18" t="n">
        <v>42248</v>
      </c>
      <c r="B71" s="1" t="n">
        <v>1</v>
      </c>
      <c r="C71" s="2">
        <f>B71+100</f>
        <v/>
      </c>
      <c r="D71" s="21">
        <f>C71*D70/100</f>
        <v/>
      </c>
      <c r="E71" s="35" t="n">
        <v>116.74</v>
      </c>
      <c r="F71" s="28" t="n">
        <v>173.012645117998</v>
      </c>
      <c r="G71" s="2">
        <f>F71/F70*100</f>
        <v/>
      </c>
      <c r="H71" s="23">
        <f>AVERAGE(G69:G71)^12/100^11-100</f>
        <v/>
      </c>
      <c r="J71" s="41" t="n"/>
      <c r="K71" s="23" t="n"/>
    </row>
    <row r="72">
      <c r="A72" s="18" t="n">
        <v>42278</v>
      </c>
      <c r="B72" s="1" t="n">
        <v>1.31</v>
      </c>
      <c r="C72" s="2">
        <f>B72+100</f>
        <v/>
      </c>
      <c r="D72" s="21">
        <f>C72*D71/100</f>
        <v/>
      </c>
      <c r="E72" s="35" t="n">
        <v>117.57</v>
      </c>
      <c r="F72" s="28" t="n">
        <v>173.492417746035</v>
      </c>
      <c r="G72" s="2">
        <f>F72/F71*100</f>
        <v/>
      </c>
      <c r="H72" s="23">
        <f>AVERAGE(G70:G72)^12/100^11-100</f>
        <v/>
      </c>
      <c r="J72" s="41" t="n"/>
      <c r="K72" s="23" t="n"/>
    </row>
    <row r="73">
      <c r="A73" s="18" t="n">
        <v>42309</v>
      </c>
      <c r="B73" s="1" t="n">
        <v>0.32</v>
      </c>
      <c r="C73" s="2">
        <f>B73+100</f>
        <v/>
      </c>
      <c r="D73" s="21">
        <f>C73*D72/100</f>
        <v/>
      </c>
      <c r="E73" s="35" t="n">
        <v>116.81</v>
      </c>
      <c r="F73" s="28" t="n">
        <v>174.063482170139</v>
      </c>
      <c r="G73" s="2">
        <f>F73/F72*100</f>
        <v/>
      </c>
      <c r="H73" s="23">
        <f>AVERAGE(G71:G73)^12/100^11-100</f>
        <v/>
      </c>
      <c r="J73" s="41" t="n"/>
      <c r="K73" s="23" t="n"/>
    </row>
    <row r="74">
      <c r="A74" s="18" t="n">
        <v>42339</v>
      </c>
      <c r="B74" s="1" t="n">
        <v>0.62</v>
      </c>
      <c r="C74" s="2">
        <f>B74+100</f>
        <v/>
      </c>
      <c r="D74" s="21">
        <f>C74*D73/100</f>
        <v/>
      </c>
      <c r="E74" s="35" t="n">
        <v>115.3</v>
      </c>
      <c r="F74" s="28" t="n">
        <v>174.944459332074</v>
      </c>
      <c r="G74" s="2">
        <f>F74/F73*100</f>
        <v/>
      </c>
      <c r="H74" s="23">
        <f>AVERAGE(G72:G74)^12/100^11-100</f>
        <v/>
      </c>
      <c r="J74" s="41" t="n"/>
      <c r="K74" s="23" t="n"/>
    </row>
    <row r="75">
      <c r="A75" s="18" t="n">
        <v>42370</v>
      </c>
      <c r="B75" s="1" t="n">
        <v>0.79</v>
      </c>
      <c r="C75" s="2">
        <f>B75+100</f>
        <v/>
      </c>
      <c r="D75" s="21">
        <f>C75*D74/100</f>
        <v/>
      </c>
      <c r="E75" s="35" t="n">
        <v>111.62</v>
      </c>
      <c r="F75" s="28" t="n">
        <v>175.637749410004</v>
      </c>
      <c r="G75" s="2">
        <f>F75/F74*100</f>
        <v/>
      </c>
      <c r="H75" s="23">
        <f>AVERAGE(G73:G75)^12/100^11-100</f>
        <v/>
      </c>
      <c r="J75" s="1" t="n">
        <v>100.31</v>
      </c>
      <c r="K75" s="23" t="n"/>
    </row>
    <row r="76">
      <c r="A76" s="18" t="n">
        <v>42401</v>
      </c>
      <c r="B76" s="1" t="n">
        <v>0.62</v>
      </c>
      <c r="C76" s="2">
        <f>B76+100</f>
        <v/>
      </c>
      <c r="D76" s="21">
        <f>C76*D75/100</f>
        <v/>
      </c>
      <c r="E76" s="35" t="n">
        <v>109.03</v>
      </c>
      <c r="F76" s="28" t="n">
        <v>175.763710945503</v>
      </c>
      <c r="G76" s="2">
        <f>F76/F75*100</f>
        <v/>
      </c>
      <c r="H76" s="23">
        <f>AVERAGE(G74:G76)^12/100^11-100</f>
        <v/>
      </c>
      <c r="J76" s="1" t="n">
        <v>100.27</v>
      </c>
      <c r="K76" s="23" t="n"/>
    </row>
    <row r="77">
      <c r="A77" s="18" t="n">
        <v>42430</v>
      </c>
      <c r="B77" s="1" t="n">
        <v>0.25</v>
      </c>
      <c r="C77" s="2">
        <f>B77+100</f>
        <v/>
      </c>
      <c r="D77" s="21">
        <f>C77*D76/100</f>
        <v/>
      </c>
      <c r="E77" s="35" t="n">
        <v>107.24</v>
      </c>
      <c r="F77" s="28" t="n">
        <v>177.276786880876</v>
      </c>
      <c r="G77" s="2">
        <f>F77/F76*100</f>
        <v/>
      </c>
      <c r="H77" s="23">
        <f>AVERAGE(G75:G77)^12/100^11-100</f>
        <v/>
      </c>
      <c r="J77" s="1" t="n">
        <v>100.03</v>
      </c>
      <c r="K77" s="23">
        <f>AVERAGE(J75:J77)^12/100^11-100</f>
        <v/>
      </c>
    </row>
    <row r="78">
      <c r="A78" s="18" t="n">
        <v>42461</v>
      </c>
      <c r="B78" s="1" t="n">
        <v>1.09</v>
      </c>
      <c r="C78" s="2">
        <f>B78+100</f>
        <v/>
      </c>
      <c r="D78" s="21">
        <f>C78*D77/100</f>
        <v/>
      </c>
      <c r="E78" s="35" t="n">
        <v>107.08</v>
      </c>
      <c r="F78" s="28" t="n">
        <v>177.730547420412</v>
      </c>
      <c r="G78" s="2">
        <f>F78/F77*100</f>
        <v/>
      </c>
      <c r="H78" s="23">
        <f>AVERAGE(G76:G78)^12/100^11-100</f>
        <v/>
      </c>
      <c r="J78" s="1" t="n">
        <v>101</v>
      </c>
      <c r="K78" s="23">
        <f>AVERAGE(J76:J78)^12/100^11-100</f>
        <v/>
      </c>
    </row>
    <row r="79">
      <c r="A79" s="18" t="n">
        <v>42491</v>
      </c>
      <c r="B79" s="1" t="n">
        <v>0.21</v>
      </c>
      <c r="C79" s="2">
        <f>B79+100</f>
        <v/>
      </c>
      <c r="D79" s="21">
        <f>C79*D78/100</f>
        <v/>
      </c>
      <c r="E79" s="35" t="n">
        <v>106.91</v>
      </c>
      <c r="F79" s="28" t="n">
        <v>178.860878295929</v>
      </c>
      <c r="G79" s="2">
        <f>F79/F78*100</f>
        <v/>
      </c>
      <c r="H79" s="23">
        <f>AVERAGE(G77:G79)^12/100^11-100</f>
        <v/>
      </c>
      <c r="J79" s="1" t="n">
        <v>100.26</v>
      </c>
      <c r="K79" s="23">
        <f>AVERAGE(J77:J79)^12/100^11-100</f>
        <v/>
      </c>
    </row>
    <row r="80">
      <c r="A80" s="18" t="n">
        <v>42522</v>
      </c>
      <c r="B80" s="1" t="n">
        <v>0.24</v>
      </c>
      <c r="C80" s="2">
        <f>B80+100</f>
        <v/>
      </c>
      <c r="D80" s="21">
        <f>C80*D79/100</f>
        <v/>
      </c>
      <c r="E80" s="35" t="n">
        <v>107.47</v>
      </c>
      <c r="F80" s="28" t="n">
        <v>180.562249182629</v>
      </c>
      <c r="G80" s="2">
        <f>F80/F79*100</f>
        <v/>
      </c>
      <c r="H80" s="23">
        <f>AVERAGE(G78:G80)^12/100^11-100</f>
        <v/>
      </c>
      <c r="J80" s="1" t="n">
        <v>100.43</v>
      </c>
      <c r="K80" s="23">
        <f>AVERAGE(J78:J80)^12/100^11-100</f>
        <v/>
      </c>
    </row>
    <row r="81">
      <c r="A81" s="18" t="n">
        <v>42552</v>
      </c>
      <c r="B81" s="1" t="n">
        <v>0.61</v>
      </c>
      <c r="C81" s="2">
        <f>B81+100</f>
        <v/>
      </c>
      <c r="D81" s="21">
        <f>C81*D80/100</f>
        <v/>
      </c>
      <c r="E81" s="35" t="n">
        <v>107.77</v>
      </c>
      <c r="F81" s="28" t="n">
        <v>181.701274581295</v>
      </c>
      <c r="G81" s="2">
        <f>F81/F80*100</f>
        <v/>
      </c>
      <c r="H81" s="23">
        <f>AVERAGE(G79:G81)^12/100^11-100</f>
        <v/>
      </c>
      <c r="J81" s="1" t="n">
        <v>101.03</v>
      </c>
      <c r="K81" s="23">
        <f>AVERAGE(J79:J81)^12/100^11-100</f>
        <v/>
      </c>
    </row>
    <row r="82">
      <c r="A82" s="18" t="n">
        <v>42583</v>
      </c>
      <c r="B82" s="1" t="n">
        <v>0.09</v>
      </c>
      <c r="C82" s="2">
        <f>B82+100</f>
        <v/>
      </c>
      <c r="D82" s="21">
        <f>C82*D81/100</f>
        <v/>
      </c>
      <c r="E82" s="35" t="n">
        <v>107.39</v>
      </c>
      <c r="F82" s="28" t="n">
        <v>181.486526834415</v>
      </c>
      <c r="G82" s="2">
        <f>F82/F81*100</f>
        <v/>
      </c>
      <c r="H82" s="23">
        <f>AVERAGE(G80:G82)^12/100^11-100</f>
        <v/>
      </c>
      <c r="J82" s="1" t="n">
        <v>100.56</v>
      </c>
      <c r="K82" s="23">
        <f>AVERAGE(J80:J82)^12/100^11-100</f>
        <v/>
      </c>
    </row>
    <row r="83">
      <c r="A83" s="18" t="n">
        <v>42614</v>
      </c>
      <c r="B83" s="1" t="n">
        <v>-0.13</v>
      </c>
      <c r="C83" s="2">
        <f>B83+100</f>
        <v/>
      </c>
      <c r="D83" s="21">
        <f>C83*D82/100</f>
        <v/>
      </c>
      <c r="E83" s="35" t="n">
        <v>106.18</v>
      </c>
      <c r="F83" s="28" t="n">
        <v>182.436033332305</v>
      </c>
      <c r="G83" s="2">
        <f>F83/F82*100</f>
        <v/>
      </c>
      <c r="H83" s="23">
        <f>AVERAGE(G81:G83)^12/100^11-100</f>
        <v/>
      </c>
      <c r="J83" s="1" t="n">
        <v>100.24</v>
      </c>
      <c r="K83" s="23">
        <f>AVERAGE(J81:J83)^12/100^11-100</f>
        <v/>
      </c>
    </row>
    <row r="84">
      <c r="A84" s="18" t="n">
        <v>42644</v>
      </c>
      <c r="B84" s="1" t="n">
        <v>0.6</v>
      </c>
      <c r="C84" s="2">
        <f>B84+100</f>
        <v/>
      </c>
      <c r="D84" s="21">
        <f>C84*D83/100</f>
        <v/>
      </c>
      <c r="E84" s="35" t="n">
        <v>105.43</v>
      </c>
      <c r="F84" s="28" t="n">
        <v>182.866921685406</v>
      </c>
      <c r="G84" s="2">
        <f>F84/F83*100</f>
        <v/>
      </c>
      <c r="H84" s="23">
        <f>AVERAGE(G82:G84)^12/100^11-100</f>
        <v/>
      </c>
      <c r="J84" s="1" t="n">
        <v>100.56</v>
      </c>
      <c r="K84" s="23">
        <f>AVERAGE(J82:J84)^12/100^11-100</f>
        <v/>
      </c>
    </row>
    <row r="85">
      <c r="A85" s="18" t="n">
        <v>42675</v>
      </c>
      <c r="B85" s="1" t="n">
        <v>0.29</v>
      </c>
      <c r="C85" s="2">
        <f>B85+100</f>
        <v/>
      </c>
      <c r="D85" s="21">
        <f>C85*D84/100</f>
        <v/>
      </c>
      <c r="E85" s="35" t="n">
        <v>105.39</v>
      </c>
      <c r="F85" s="28" t="n">
        <v>184.775734971971</v>
      </c>
      <c r="G85" s="2">
        <f>F85/F84*100</f>
        <v/>
      </c>
      <c r="H85" s="23">
        <f>AVERAGE(G83:G85)^12/100^11-100</f>
        <v/>
      </c>
      <c r="J85" s="1" t="n">
        <v>100.16</v>
      </c>
      <c r="K85" s="23">
        <f>AVERAGE(J83:J85)^12/100^11-100</f>
        <v/>
      </c>
    </row>
    <row r="86">
      <c r="A86" s="18" t="n">
        <v>42705</v>
      </c>
      <c r="B86" s="1" t="n">
        <v>1.33</v>
      </c>
      <c r="C86" s="2">
        <f>B86+100</f>
        <v/>
      </c>
      <c r="D86" s="21">
        <f>C86*D85/100</f>
        <v/>
      </c>
      <c r="E86" s="35" t="n">
        <v>106.13</v>
      </c>
      <c r="F86" s="28" t="n">
        <v>185.106313845135</v>
      </c>
      <c r="G86" s="2">
        <f>F86/F85*100</f>
        <v/>
      </c>
      <c r="H86" s="23">
        <f>AVERAGE(G84:G86)^12/100^11-100</f>
        <v/>
      </c>
      <c r="J86" s="1" t="n">
        <v>101.04</v>
      </c>
      <c r="K86" s="23">
        <f>AVERAGE(J84:J86)^12/100^11-100</f>
        <v/>
      </c>
    </row>
    <row r="87">
      <c r="A87" s="18" t="n">
        <v>42736</v>
      </c>
      <c r="B87" s="1" t="n">
        <v>0.47</v>
      </c>
      <c r="C87" s="2">
        <f>B87+100</f>
        <v/>
      </c>
      <c r="D87" s="21">
        <f>C87*D86/100</f>
        <v/>
      </c>
      <c r="E87" s="35" t="n">
        <v>105.79</v>
      </c>
      <c r="F87" s="28" t="n">
        <v>185.294784863016</v>
      </c>
      <c r="G87" s="2">
        <f>F87/F86*100</f>
        <v/>
      </c>
      <c r="H87" s="23">
        <f>AVERAGE(G85:G87)^12/100^11-100</f>
        <v/>
      </c>
      <c r="J87" s="1" t="n">
        <v>100.04</v>
      </c>
      <c r="K87" s="23">
        <f>AVERAGE(J85:J87)^12/100^11-100</f>
        <v/>
      </c>
    </row>
    <row r="88">
      <c r="A88" s="18" t="n">
        <v>42767</v>
      </c>
      <c r="B88" s="1" t="n">
        <v>0.33</v>
      </c>
      <c r="C88" s="2">
        <f>B88+100</f>
        <v/>
      </c>
      <c r="D88" s="21">
        <f>C88*D87/100</f>
        <v/>
      </c>
      <c r="E88" s="35" t="n">
        <v>105.49</v>
      </c>
      <c r="F88" s="28" t="n">
        <v>185.352569199362</v>
      </c>
      <c r="G88" s="2">
        <f>F88/F87*100</f>
        <v/>
      </c>
      <c r="H88" s="23">
        <f>AVERAGE(G86:G88)^12/100^11-100</f>
        <v/>
      </c>
      <c r="J88" s="1" t="n">
        <v>99.97</v>
      </c>
      <c r="K88" s="23">
        <f>AVERAGE(J86:J88)^12/100^11-100</f>
        <v/>
      </c>
    </row>
    <row r="89">
      <c r="A89" s="18" t="n">
        <v>42795</v>
      </c>
      <c r="B89" s="1" t="n">
        <v>0.2</v>
      </c>
      <c r="C89" s="2">
        <f>B89+100</f>
        <v/>
      </c>
      <c r="D89" s="21">
        <f>C89*D88/100</f>
        <v/>
      </c>
      <c r="E89" s="35" t="n">
        <v>105.44</v>
      </c>
      <c r="F89" s="28" t="n">
        <v>186.346485946394</v>
      </c>
      <c r="G89" s="2">
        <f>F89/F88*100</f>
        <v/>
      </c>
      <c r="H89" s="23">
        <f>AVERAGE(G87:G89)^12/100^11-100</f>
        <v/>
      </c>
      <c r="J89" s="1" t="n">
        <v>100.02</v>
      </c>
      <c r="K89" s="23">
        <f>AVERAGE(J87:J89)^12/100^11-100</f>
        <v/>
      </c>
    </row>
    <row r="90">
      <c r="A90" s="18" t="n">
        <v>42826</v>
      </c>
      <c r="B90" s="1" t="n">
        <v>0.77</v>
      </c>
      <c r="C90" s="2">
        <f>B90+100</f>
        <v/>
      </c>
      <c r="D90" s="21">
        <f>C90*D89/100</f>
        <v/>
      </c>
      <c r="E90" s="35" t="n">
        <v>105.11</v>
      </c>
      <c r="F90" s="28" t="n">
        <v>187.306686426308</v>
      </c>
      <c r="G90" s="2">
        <f>F90/F89*100</f>
        <v/>
      </c>
      <c r="H90" s="23">
        <f>AVERAGE(G88:G90)^12/100^11-100</f>
        <v/>
      </c>
      <c r="J90" s="1" t="n">
        <v>100.66</v>
      </c>
      <c r="K90" s="23">
        <f>AVERAGE(J88:J90)^12/100^11-100</f>
        <v/>
      </c>
    </row>
    <row r="91">
      <c r="A91" s="18" t="n">
        <v>42856</v>
      </c>
      <c r="B91" s="1" t="n">
        <v>0.46</v>
      </c>
      <c r="C91" s="2">
        <f>B91+100</f>
        <v/>
      </c>
      <c r="D91" s="21">
        <f>C91*D90/100</f>
        <v/>
      </c>
      <c r="E91" s="35" t="n">
        <v>105.37</v>
      </c>
      <c r="F91" s="28" t="n">
        <v>189.09120983649</v>
      </c>
      <c r="G91" s="2">
        <f>F91/F90*100</f>
        <v/>
      </c>
      <c r="H91" s="23">
        <f>AVERAGE(G89:G91)^12/100^11-100</f>
        <v/>
      </c>
      <c r="J91" s="1" t="n">
        <v>100.49</v>
      </c>
      <c r="K91" s="23">
        <f>AVERAGE(J89:J91)^12/100^11-100</f>
        <v/>
      </c>
    </row>
    <row r="92">
      <c r="A92" s="18" t="n">
        <v>42887</v>
      </c>
      <c r="B92" s="1" t="n">
        <v>0.58</v>
      </c>
      <c r="C92" s="2">
        <f>B92+100</f>
        <v/>
      </c>
      <c r="D92" s="21">
        <f>C92*D91/100</f>
        <v/>
      </c>
      <c r="E92" s="35" t="n">
        <v>105.72</v>
      </c>
      <c r="F92" s="28" t="n">
        <v>188.834303058061</v>
      </c>
      <c r="G92" s="2">
        <f>F92/F91*100</f>
        <v/>
      </c>
      <c r="H92" s="23">
        <f>AVERAGE(G90:G92)^12/100^11-100</f>
        <v/>
      </c>
      <c r="J92" s="1" t="n">
        <v>100.74</v>
      </c>
      <c r="K92" s="23">
        <f>AVERAGE(J90:J92)^12/100^11-100</f>
        <v/>
      </c>
    </row>
    <row r="93">
      <c r="A93" s="18" t="n">
        <v>42917</v>
      </c>
      <c r="B93" s="1" t="n">
        <v>-0.48</v>
      </c>
      <c r="C93" s="2">
        <f>B93+100</f>
        <v/>
      </c>
      <c r="D93" s="21">
        <f>C93*D92/100</f>
        <v/>
      </c>
      <c r="E93" s="35" t="n">
        <v>104.58</v>
      </c>
      <c r="F93" s="28" t="n">
        <v>188.894262586946</v>
      </c>
      <c r="G93" s="2">
        <f>F93/F92*100</f>
        <v/>
      </c>
      <c r="H93" s="23">
        <f>AVERAGE(G91:G93)^12/100^11-100</f>
        <v/>
      </c>
      <c r="J93" s="1" t="n">
        <v>100</v>
      </c>
      <c r="K93" s="23">
        <f>AVERAGE(J91:J93)^12/100^11-100</f>
        <v/>
      </c>
    </row>
    <row r="94">
      <c r="A94" s="18" t="n">
        <v>42948</v>
      </c>
      <c r="B94" s="1" t="n">
        <v>-0.51</v>
      </c>
      <c r="C94" s="2">
        <f>B94+100</f>
        <v/>
      </c>
      <c r="D94" s="21">
        <f>C94*D93/100</f>
        <v/>
      </c>
      <c r="E94" s="35" t="n">
        <v>103.96</v>
      </c>
      <c r="F94" s="28" t="n">
        <v>188.688797545211</v>
      </c>
      <c r="G94" s="2">
        <f>F94/F93*100</f>
        <v/>
      </c>
      <c r="H94" s="23">
        <f>AVERAGE(G92:G94)^12/100^11-100</f>
        <v/>
      </c>
      <c r="J94" s="1" t="n">
        <v>99.89</v>
      </c>
      <c r="K94" s="23">
        <f>AVERAGE(J92:J94)^12/100^11-100</f>
        <v/>
      </c>
    </row>
    <row r="95">
      <c r="A95" s="18" t="n">
        <v>42979</v>
      </c>
      <c r="B95" s="1" t="n">
        <v>-0.14</v>
      </c>
      <c r="C95" s="2">
        <f>B95+100</f>
        <v/>
      </c>
      <c r="D95" s="21">
        <f>C95*D94/100</f>
        <v/>
      </c>
      <c r="E95" s="35" t="n">
        <v>103.95</v>
      </c>
      <c r="F95" s="28" t="n">
        <v>188.84173203715</v>
      </c>
      <c r="G95" s="2">
        <f>F95/F94*100</f>
        <v/>
      </c>
      <c r="H95" s="23">
        <f>AVERAGE(G93:G95)^12/100^11-100</f>
        <v/>
      </c>
      <c r="J95" s="1" t="n">
        <v>100.33</v>
      </c>
      <c r="K95" s="23">
        <f>AVERAGE(J93:J95)^12/100^11-100</f>
        <v/>
      </c>
    </row>
    <row r="96">
      <c r="A96" s="18" t="n">
        <v>43009</v>
      </c>
      <c r="B96" s="1" t="n">
        <v>0.16</v>
      </c>
      <c r="C96" s="2">
        <f>B96+100</f>
        <v/>
      </c>
      <c r="D96" s="21">
        <f>C96*D95/100</f>
        <v/>
      </c>
      <c r="E96" s="35" t="n">
        <v>103.5</v>
      </c>
      <c r="F96" s="28" t="n">
        <v>189.05207435539</v>
      </c>
      <c r="G96" s="2">
        <f>F96/F95*100</f>
        <v/>
      </c>
      <c r="H96" s="23">
        <f>AVERAGE(G94:G96)^12/100^11-100</f>
        <v/>
      </c>
      <c r="J96" s="1" t="n">
        <v>100.17</v>
      </c>
      <c r="K96" s="23">
        <f>AVERAGE(J94:J96)^12/100^11-100</f>
        <v/>
      </c>
    </row>
    <row r="97">
      <c r="A97" s="18" t="n">
        <v>43040</v>
      </c>
      <c r="B97" s="1" t="n">
        <v>0.18</v>
      </c>
      <c r="C97" s="2">
        <f>B97+100</f>
        <v/>
      </c>
      <c r="D97" s="21">
        <f>C97*D96/100</f>
        <v/>
      </c>
      <c r="E97" s="35" t="n">
        <v>103.38</v>
      </c>
      <c r="F97" s="28" t="n">
        <v>189.384205830038</v>
      </c>
      <c r="G97" s="2">
        <f>F97/F96*100</f>
        <v/>
      </c>
      <c r="H97" s="23">
        <f>AVERAGE(G95:G97)^12/100^11-100</f>
        <v/>
      </c>
      <c r="J97" s="1" t="n">
        <v>100.06</v>
      </c>
      <c r="K97" s="23">
        <f>AVERAGE(J95:J97)^12/100^11-100</f>
        <v/>
      </c>
    </row>
    <row r="98">
      <c r="A98" s="18" t="n">
        <v>43070</v>
      </c>
      <c r="B98" s="1" t="n">
        <v>0.44</v>
      </c>
      <c r="C98" s="2">
        <f>B98+100</f>
        <v/>
      </c>
      <c r="D98" s="21">
        <f>C98*D97/100</f>
        <v/>
      </c>
      <c r="E98" s="35" t="n">
        <v>102.48</v>
      </c>
      <c r="F98" s="28" t="n">
        <v>188.753899252551</v>
      </c>
      <c r="G98" s="2">
        <f>F98/F97*100</f>
        <v/>
      </c>
      <c r="H98" s="23">
        <f>AVERAGE(G96:G98)^12/100^11-100</f>
        <v/>
      </c>
      <c r="J98" s="1" t="n">
        <v>100.24</v>
      </c>
      <c r="K98" s="23">
        <f>AVERAGE(J96:J98)^12/100^11-100</f>
        <v/>
      </c>
    </row>
    <row r="99">
      <c r="A99" s="18" t="n">
        <v>43101</v>
      </c>
      <c r="B99" s="1" t="n">
        <v>-0.03</v>
      </c>
      <c r="C99" s="2">
        <f>B99+100</f>
        <v/>
      </c>
      <c r="D99" s="21">
        <f>C99*D98/100</f>
        <v/>
      </c>
      <c r="E99" s="35" t="n">
        <v>101.97</v>
      </c>
      <c r="F99" s="28" t="n">
        <v>188.943641476973</v>
      </c>
      <c r="G99" s="2">
        <f>F99/F98*100</f>
        <v/>
      </c>
      <c r="H99" s="23">
        <f>AVERAGE(G97:G99)^12/100^11-100</f>
        <v/>
      </c>
      <c r="J99" s="1" t="n">
        <v>99.58</v>
      </c>
      <c r="K99" s="23">
        <f>AVERAGE(J97:J99)^12/100^11-100</f>
        <v/>
      </c>
    </row>
    <row r="100">
      <c r="A100" s="18" t="n">
        <v>43132</v>
      </c>
      <c r="B100" s="1" t="n">
        <v>0.34</v>
      </c>
      <c r="C100" s="2">
        <f>B100+100</f>
        <v/>
      </c>
      <c r="D100" s="21">
        <f>C100*D99/100</f>
        <v/>
      </c>
      <c r="E100" s="35" t="n">
        <v>101.98</v>
      </c>
      <c r="F100" s="28" t="n">
        <v>188.775761706752</v>
      </c>
      <c r="G100" s="2">
        <f>F100/F99*100</f>
        <v/>
      </c>
      <c r="H100" s="23">
        <f>AVERAGE(G98:G100)^12/100^11-100</f>
        <v/>
      </c>
      <c r="J100" s="1" t="n">
        <v>100</v>
      </c>
      <c r="K100" s="23">
        <f>AVERAGE(J98:J100)^12/100^11-100</f>
        <v/>
      </c>
    </row>
    <row r="101">
      <c r="A101" s="18" t="n">
        <v>43160</v>
      </c>
      <c r="B101" s="1" t="n">
        <v>0.08</v>
      </c>
      <c r="C101" s="2">
        <f>B101+100</f>
        <v/>
      </c>
      <c r="D101" s="21">
        <f>C101*D100/100</f>
        <v/>
      </c>
      <c r="E101" s="35" t="n">
        <v>101.86</v>
      </c>
      <c r="F101" s="28" t="n">
        <v>189.284713215335</v>
      </c>
      <c r="G101" s="2">
        <f>F101/F100*100</f>
        <v/>
      </c>
      <c r="H101" s="23">
        <f>AVERAGE(G99:G101)^12/100^11-100</f>
        <v/>
      </c>
      <c r="J101" s="1" t="n">
        <v>99.88</v>
      </c>
      <c r="K101" s="23">
        <f>AVERAGE(J99:J101)^12/100^11-100</f>
        <v/>
      </c>
    </row>
    <row r="102">
      <c r="A102" s="18" t="n">
        <v>43191</v>
      </c>
      <c r="B102" s="1" t="n">
        <v>0.5</v>
      </c>
      <c r="C102" s="2">
        <f>B102+100</f>
        <v/>
      </c>
      <c r="D102" s="21">
        <f>C102*D101/100</f>
        <v/>
      </c>
      <c r="E102" s="35" t="n">
        <v>101.58</v>
      </c>
      <c r="F102" s="28" t="n">
        <v>189.586323377697</v>
      </c>
      <c r="G102" s="2">
        <f>F102/F101*100</f>
        <v/>
      </c>
      <c r="H102" s="23">
        <f>AVERAGE(G100:G102)^12/100^11-100</f>
        <v/>
      </c>
      <c r="J102" s="1" t="n">
        <v>100.35</v>
      </c>
      <c r="K102" s="23">
        <f>AVERAGE(J100:J102)^12/100^11-100</f>
        <v/>
      </c>
    </row>
    <row r="103">
      <c r="A103" s="18" t="n">
        <v>43221</v>
      </c>
      <c r="B103" s="1" t="n">
        <v>0.09</v>
      </c>
      <c r="C103" s="2">
        <f>B103+100</f>
        <v/>
      </c>
      <c r="D103" s="21">
        <f>C103*D102/100</f>
        <v/>
      </c>
      <c r="E103" s="35" t="n">
        <v>101.21</v>
      </c>
      <c r="F103" s="28" t="n">
        <v>191.4963123446</v>
      </c>
      <c r="G103" s="2">
        <f>F103/F102*100</f>
        <v/>
      </c>
      <c r="H103" s="23">
        <f>AVERAGE(G101:G103)^12/100^11-100</f>
        <v/>
      </c>
      <c r="J103" s="1" t="n">
        <v>100.16</v>
      </c>
      <c r="K103" s="23">
        <f>AVERAGE(J101:J103)^12/100^11-100</f>
        <v/>
      </c>
    </row>
    <row r="104">
      <c r="A104" s="18" t="n">
        <v>43252</v>
      </c>
      <c r="B104" s="1" t="n">
        <v>0.64</v>
      </c>
      <c r="C104" s="2">
        <f>B104+100</f>
        <v/>
      </c>
      <c r="D104" s="21">
        <f>C104*D103/100</f>
        <v/>
      </c>
      <c r="E104" s="35" t="n">
        <v>101.27</v>
      </c>
      <c r="F104" s="28" t="n">
        <v>192.393577078736</v>
      </c>
      <c r="G104" s="2">
        <f>F104/F103*100</f>
        <v/>
      </c>
      <c r="H104" s="23">
        <f>AVERAGE(G102:G104)^12/100^11-100</f>
        <v/>
      </c>
      <c r="J104" s="1" t="n">
        <v>100.81</v>
      </c>
      <c r="K104" s="23">
        <f>AVERAGE(J102:J104)^12/100^11-100</f>
        <v/>
      </c>
    </row>
    <row r="105">
      <c r="A105" s="18" t="n">
        <v>43282</v>
      </c>
      <c r="B105" s="1" t="n">
        <v>0.12</v>
      </c>
      <c r="C105" s="2">
        <f>B105+100</f>
        <v/>
      </c>
      <c r="D105" s="21">
        <f>C105*D104/100</f>
        <v/>
      </c>
      <c r="E105" s="35" t="n">
        <v>101.88</v>
      </c>
      <c r="F105" s="28" t="n">
        <v>193.348429519881</v>
      </c>
      <c r="G105" s="2">
        <f>F105/F104*100</f>
        <v/>
      </c>
      <c r="H105" s="23">
        <f>AVERAGE(G103:G105)^12/100^11-100</f>
        <v/>
      </c>
      <c r="J105" s="1" t="n">
        <v>100.6</v>
      </c>
      <c r="K105" s="23">
        <f>AVERAGE(J103:J105)^12/100^11-100</f>
        <v/>
      </c>
    </row>
    <row r="106">
      <c r="A106" s="18" t="n">
        <v>43313</v>
      </c>
      <c r="B106" s="1" t="n">
        <v>-0.05</v>
      </c>
      <c r="C106" s="2">
        <f>B106+100</f>
        <v/>
      </c>
      <c r="D106" s="21">
        <f>C106*D105/100</f>
        <v/>
      </c>
      <c r="E106" s="35" t="n">
        <v>102.35</v>
      </c>
      <c r="F106" s="28" t="n">
        <v>192.845480850463</v>
      </c>
      <c r="G106" s="2">
        <f>F106/F105*100</f>
        <v/>
      </c>
      <c r="H106" s="23">
        <f>AVERAGE(G104:G106)^12/100^11-100</f>
        <v/>
      </c>
      <c r="J106" s="1" t="n">
        <v>100.37</v>
      </c>
      <c r="K106" s="23">
        <f>AVERAGE(J104:J106)^12/100^11-100</f>
        <v/>
      </c>
    </row>
    <row r="107">
      <c r="A107" s="18" t="n">
        <v>43344</v>
      </c>
      <c r="B107" s="1" t="n">
        <v>-0.3</v>
      </c>
      <c r="C107" s="2">
        <f>B107+100</f>
        <v/>
      </c>
      <c r="D107" s="21">
        <f>C107*D106/100</f>
        <v/>
      </c>
      <c r="E107" s="35" t="n">
        <v>102.18</v>
      </c>
      <c r="F107" s="28" t="n">
        <v>192.859278562708</v>
      </c>
      <c r="G107" s="2">
        <f>F107/F106*100</f>
        <v/>
      </c>
      <c r="H107" s="23">
        <f>AVERAGE(G105:G107)^12/100^11-100</f>
        <v/>
      </c>
      <c r="J107" s="1" t="n">
        <v>100.17</v>
      </c>
      <c r="K107" s="23">
        <f>AVERAGE(J105:J107)^12/100^11-100</f>
        <v/>
      </c>
    </row>
    <row r="108">
      <c r="A108" s="18" t="n">
        <v>43374</v>
      </c>
      <c r="B108" s="1" t="n">
        <v>0.09</v>
      </c>
      <c r="C108" s="2">
        <f>B108+100</f>
        <v/>
      </c>
      <c r="D108" s="21">
        <f>C108*D107/100</f>
        <v/>
      </c>
      <c r="E108" s="35" t="n">
        <v>102.11</v>
      </c>
      <c r="F108" s="28" t="n">
        <v>194.374984111552</v>
      </c>
      <c r="G108" s="2">
        <f>F108/F107*100</f>
        <v/>
      </c>
      <c r="H108" s="23">
        <f>AVERAGE(G106:G108)^12/100^11-100</f>
        <v/>
      </c>
      <c r="J108" s="1" t="n">
        <v>100.01</v>
      </c>
      <c r="K108" s="23">
        <f>AVERAGE(J106:J108)^12/100^11-100</f>
        <v/>
      </c>
    </row>
    <row r="109">
      <c r="A109" s="18" t="n">
        <v>43405</v>
      </c>
      <c r="B109" s="1" t="n">
        <v>0.87</v>
      </c>
      <c r="C109" s="2">
        <f>B109+100</f>
        <v/>
      </c>
      <c r="D109" s="21">
        <f>C109*D108/100</f>
        <v/>
      </c>
      <c r="E109" s="35" t="n">
        <v>102.81</v>
      </c>
      <c r="F109" s="28" t="n">
        <v>196.003560138123</v>
      </c>
      <c r="G109" s="2">
        <f>F109/F108*100</f>
        <v/>
      </c>
      <c r="H109" s="23">
        <f>AVERAGE(G107:G109)^12/100^11-100</f>
        <v/>
      </c>
      <c r="J109" s="1" t="n">
        <v>100.73</v>
      </c>
      <c r="K109" s="23">
        <f>AVERAGE(J107:J109)^12/100^11-100</f>
        <v/>
      </c>
    </row>
    <row r="110">
      <c r="A110" s="18" t="n">
        <v>43435</v>
      </c>
      <c r="B110" s="1" t="n">
        <v>1.08</v>
      </c>
      <c r="C110" s="2">
        <f>B110+100</f>
        <v/>
      </c>
      <c r="D110" s="21">
        <f>C110*D109/100</f>
        <v/>
      </c>
      <c r="E110" s="35" t="n">
        <v>103.47</v>
      </c>
      <c r="F110" s="28" t="n">
        <v>197.592318735714</v>
      </c>
      <c r="G110" s="2">
        <f>F110/F109*100</f>
        <v/>
      </c>
      <c r="H110" s="23">
        <f>AVERAGE(G108:G110)^12/100^11-100</f>
        <v/>
      </c>
      <c r="J110" s="1" t="n">
        <v>100.87</v>
      </c>
      <c r="K110" s="23">
        <f>AVERAGE(J108:J110)^12/100^11-100</f>
        <v/>
      </c>
    </row>
    <row r="111">
      <c r="A111" s="18" t="n">
        <v>43466</v>
      </c>
      <c r="B111" s="1" t="n">
        <v>1.14</v>
      </c>
      <c r="C111" s="2">
        <f>B111+100</f>
        <v/>
      </c>
      <c r="D111" s="21">
        <f>C111*D110/100</f>
        <v/>
      </c>
      <c r="E111" s="35" t="n">
        <v>104.68</v>
      </c>
      <c r="F111" s="28" t="n">
        <v>198.491255491145</v>
      </c>
      <c r="G111" s="2">
        <f>F111/F110*100</f>
        <v/>
      </c>
      <c r="H111" s="23">
        <f>AVERAGE(G109:G111)^12/100^11-100</f>
        <v/>
      </c>
      <c r="J111" s="1" t="n">
        <v>100.65</v>
      </c>
      <c r="K111" s="23">
        <f>AVERAGE(J109:J111)^12/100^11-100</f>
        <v/>
      </c>
    </row>
    <row r="112">
      <c r="A112" s="18" t="n">
        <v>43497</v>
      </c>
      <c r="B112" s="1" t="n">
        <v>0.71</v>
      </c>
      <c r="C112" s="2">
        <f>B112+100</f>
        <v/>
      </c>
      <c r="D112" s="21">
        <f>C112*D111/100</f>
        <v/>
      </c>
      <c r="E112" s="35" t="n">
        <v>105.07</v>
      </c>
      <c r="F112" s="28" t="n">
        <v>199.232768488262</v>
      </c>
      <c r="G112" s="2">
        <f>F112/F111*100</f>
        <v/>
      </c>
      <c r="H112" s="23">
        <f>AVERAGE(G110:G112)^12/100^11-100</f>
        <v/>
      </c>
      <c r="J112" s="1" t="n">
        <v>100.32</v>
      </c>
      <c r="K112" s="23">
        <f>AVERAGE(J110:J112)^12/100^11-100</f>
        <v/>
      </c>
    </row>
    <row r="113">
      <c r="A113" s="18" t="n">
        <v>43525</v>
      </c>
      <c r="B113" s="1" t="n">
        <v>0.55</v>
      </c>
      <c r="C113" s="2">
        <f>B113+100</f>
        <v/>
      </c>
      <c r="D113" s="21">
        <f>C113*D112/100</f>
        <v/>
      </c>
      <c r="E113" s="35" t="n">
        <v>105.56</v>
      </c>
      <c r="F113" s="28" t="n">
        <v>199.955686316571</v>
      </c>
      <c r="G113" s="2">
        <f>F113/F112*100</f>
        <v/>
      </c>
      <c r="H113" s="23">
        <f>AVERAGE(G111:G113)^12/100^11-100</f>
        <v/>
      </c>
      <c r="J113" s="1" t="n">
        <v>100.29</v>
      </c>
      <c r="K113" s="23">
        <f>AVERAGE(J111:J113)^12/100^11-100</f>
        <v/>
      </c>
    </row>
    <row r="114">
      <c r="A114" s="18" t="n">
        <v>43556</v>
      </c>
      <c r="B114" s="1" t="n">
        <v>0.59</v>
      </c>
      <c r="C114" s="2">
        <f>B114+100</f>
        <v/>
      </c>
      <c r="D114" s="21">
        <f>C114*D113/100</f>
        <v/>
      </c>
      <c r="E114" s="35" t="n">
        <v>105.65</v>
      </c>
      <c r="F114" s="28" t="n">
        <v>201.186298255772</v>
      </c>
      <c r="G114" s="2">
        <f>F114/F113*100</f>
        <v/>
      </c>
      <c r="H114" s="23">
        <f>AVERAGE(G112:G114)^12/100^11-100</f>
        <v/>
      </c>
      <c r="J114" s="1" t="n">
        <v>100.39</v>
      </c>
      <c r="K114" s="23">
        <f>AVERAGE(J112:J114)^12/100^11-100</f>
        <v/>
      </c>
    </row>
    <row r="115">
      <c r="A115" s="18" t="n">
        <v>43586</v>
      </c>
      <c r="B115" s="1" t="n">
        <v>0.53</v>
      </c>
      <c r="C115" s="2">
        <f>B115+100</f>
        <v/>
      </c>
      <c r="D115" s="21">
        <f>C115*D114/100</f>
        <v/>
      </c>
      <c r="E115" s="35" t="n">
        <v>106.12</v>
      </c>
      <c r="F115" s="28" t="n">
        <v>201.11477282197</v>
      </c>
      <c r="G115" s="2">
        <f>F115/F114*100</f>
        <v/>
      </c>
      <c r="H115" s="23">
        <f>AVERAGE(G113:G115)^12/100^11-100</f>
        <v/>
      </c>
      <c r="J115" s="1" t="n">
        <v>100.58</v>
      </c>
      <c r="K115" s="23">
        <f>AVERAGE(J113:J115)^12/100^11-100</f>
        <v/>
      </c>
    </row>
    <row r="116">
      <c r="A116" s="18" t="n">
        <v>43617</v>
      </c>
      <c r="B116" s="1" t="n">
        <v>-0.41</v>
      </c>
      <c r="C116" s="2">
        <f>B116+100</f>
        <v/>
      </c>
      <c r="D116" s="21">
        <f>C116*D115/100</f>
        <v/>
      </c>
      <c r="E116" s="35" t="n">
        <v>105.02</v>
      </c>
      <c r="F116" s="28" t="n">
        <v>201.664618523269</v>
      </c>
      <c r="G116" s="2">
        <f>F116/F115*100</f>
        <v/>
      </c>
      <c r="H116" s="23">
        <f>AVERAGE(G114:G116)^12/100^11-100</f>
        <v/>
      </c>
      <c r="J116" s="1" t="n">
        <v>99.83</v>
      </c>
      <c r="K116" s="23">
        <f>AVERAGE(J114:J116)^12/100^11-100</f>
        <v/>
      </c>
    </row>
    <row r="117">
      <c r="A117" s="18" t="n">
        <v>43647</v>
      </c>
      <c r="B117" s="1" t="n">
        <v>-0.08</v>
      </c>
      <c r="C117" s="2">
        <f>B117+100</f>
        <v/>
      </c>
      <c r="D117" s="21">
        <f>C117*D116/100</f>
        <v/>
      </c>
      <c r="E117" s="35" t="n">
        <v>104.81</v>
      </c>
      <c r="F117" s="28" t="n">
        <v>202.431733250427</v>
      </c>
      <c r="G117" s="2">
        <f>F117/F116*100</f>
        <v/>
      </c>
      <c r="H117" s="23">
        <f>AVERAGE(G115:G117)^12/100^11-100</f>
        <v/>
      </c>
      <c r="J117" s="1" t="n">
        <v>100.47</v>
      </c>
      <c r="K117" s="23">
        <f>AVERAGE(J115:J117)^12/100^11-100</f>
        <v/>
      </c>
    </row>
    <row r="118">
      <c r="A118" s="18" t="n">
        <v>43678</v>
      </c>
      <c r="B118" s="1" t="n">
        <v>-0.17</v>
      </c>
      <c r="C118" s="2">
        <f>B118+100</f>
        <v/>
      </c>
      <c r="D118" s="21">
        <f>C118*D117/100</f>
        <v/>
      </c>
      <c r="E118" s="35" t="n">
        <v>104.68</v>
      </c>
      <c r="F118" s="28" t="n">
        <v>201.846018294745</v>
      </c>
      <c r="G118" s="2">
        <f>F118/F117*100</f>
        <v/>
      </c>
      <c r="H118" s="23">
        <f>AVERAGE(G116:G118)^12/100^11-100</f>
        <v/>
      </c>
      <c r="J118" s="1" t="n">
        <v>100.28</v>
      </c>
      <c r="K118" s="23">
        <f>AVERAGE(J116:J118)^12/100^11-100</f>
        <v/>
      </c>
    </row>
    <row r="119">
      <c r="A119" s="18" t="n">
        <v>43709</v>
      </c>
      <c r="B119" s="1" t="n">
        <v>-0.32</v>
      </c>
      <c r="C119" s="2">
        <f>B119+100</f>
        <v/>
      </c>
      <c r="D119" s="21">
        <f>C119*D118/100</f>
        <v/>
      </c>
      <c r="E119" s="35" t="n">
        <v>104.66</v>
      </c>
      <c r="F119" s="28" t="n">
        <v>202.258083566343</v>
      </c>
      <c r="G119" s="2">
        <f>F119/F118*100</f>
        <v/>
      </c>
      <c r="H119" s="23">
        <f>AVERAGE(G117:G119)^12/100^11-100</f>
        <v/>
      </c>
      <c r="J119" s="1" t="n">
        <v>100.1</v>
      </c>
      <c r="K119" s="23">
        <f>AVERAGE(J117:J119)^12/100^11-100</f>
        <v/>
      </c>
    </row>
    <row r="120">
      <c r="A120" s="18" t="n">
        <v>43739</v>
      </c>
      <c r="B120" s="1" t="n">
        <v>0.3</v>
      </c>
      <c r="C120" s="2">
        <f>B120+100</f>
        <v/>
      </c>
      <c r="D120" s="21">
        <f>C120*D119/100</f>
        <v/>
      </c>
      <c r="E120" s="35" t="n">
        <v>104.89</v>
      </c>
      <c r="F120" s="28" t="n">
        <v>202.862621669552</v>
      </c>
      <c r="G120" s="2">
        <f>F120/F119*100</f>
        <v/>
      </c>
      <c r="H120" s="23">
        <f>AVERAGE(G118:G120)^12/100^11-100</f>
        <v/>
      </c>
      <c r="J120" s="1" t="n">
        <v>100.19</v>
      </c>
      <c r="K120" s="23">
        <f>AVERAGE(J118:J120)^12/100^11-100</f>
        <v/>
      </c>
    </row>
    <row r="121">
      <c r="A121" s="18" t="n">
        <v>43770</v>
      </c>
      <c r="B121" s="1" t="n">
        <v>0.39</v>
      </c>
      <c r="C121" s="2">
        <f>B121+100</f>
        <v/>
      </c>
      <c r="D121" s="21">
        <f>C121*D120/100</f>
        <v/>
      </c>
      <c r="E121" s="35" t="n">
        <v>104.39</v>
      </c>
      <c r="F121" s="28" t="n">
        <v>203.276460284417</v>
      </c>
      <c r="G121" s="2">
        <f>F121/F120*100</f>
        <v/>
      </c>
      <c r="H121" s="23">
        <f>AVERAGE(G119:G121)^12/100^11-100</f>
        <v/>
      </c>
      <c r="J121" s="1" t="n">
        <v>100.31</v>
      </c>
      <c r="K121" s="23">
        <f>AVERAGE(J119:J121)^12/100^11-100</f>
        <v/>
      </c>
    </row>
    <row r="122">
      <c r="A122" s="18" t="n">
        <v>43800</v>
      </c>
      <c r="B122" s="1" t="n">
        <v>0.41</v>
      </c>
      <c r="C122" s="2">
        <f>B122+100</f>
        <v/>
      </c>
      <c r="D122" s="21">
        <f>C122*D121/100</f>
        <v/>
      </c>
      <c r="E122" s="35" t="n">
        <v>103.69</v>
      </c>
      <c r="F122" s="28" t="n">
        <v>203.593267881246</v>
      </c>
      <c r="G122" s="2">
        <f>F122/F121*100</f>
        <v/>
      </c>
      <c r="H122" s="23">
        <f>AVERAGE(G120:G122)^12/100^11-100</f>
        <v/>
      </c>
      <c r="J122" s="1" t="n">
        <v>100.24</v>
      </c>
      <c r="K122" s="23">
        <f>AVERAGE(J120:J122)^12/100^11-100</f>
        <v/>
      </c>
    </row>
    <row r="123">
      <c r="A123" s="18" t="n">
        <v>43831</v>
      </c>
      <c r="B123" s="1" t="n">
        <v>0.5</v>
      </c>
      <c r="C123" s="2">
        <f>B123+100</f>
        <v/>
      </c>
      <c r="D123" s="21">
        <f>C123*D122/100</f>
        <v/>
      </c>
      <c r="E123" s="35" t="n">
        <v>103.03</v>
      </c>
      <c r="F123" s="28" t="n">
        <v>203.863193759943</v>
      </c>
      <c r="G123" s="2">
        <f>F123/F122*100</f>
        <v/>
      </c>
      <c r="H123" s="23">
        <f>AVERAGE(G121:G123)^12/100^11-100</f>
        <v/>
      </c>
      <c r="J123" s="1" t="n">
        <v>100.03</v>
      </c>
      <c r="K123" s="23">
        <f>AVERAGE(J121:J123)^12/100^11-100</f>
        <v/>
      </c>
    </row>
    <row r="124">
      <c r="A124" s="18" t="n">
        <v>43862</v>
      </c>
      <c r="B124" s="1" t="n">
        <v>0.4</v>
      </c>
      <c r="C124" s="2">
        <f>B124+100</f>
        <v/>
      </c>
      <c r="D124" s="21">
        <f>C124*D123/100</f>
        <v/>
      </c>
      <c r="E124" s="35" t="n">
        <v>102.71</v>
      </c>
      <c r="F124" s="28" t="n">
        <v>204.850338707614</v>
      </c>
      <c r="G124" s="2">
        <f>F124/F123*100</f>
        <v/>
      </c>
      <c r="H124" s="23">
        <f>AVERAGE(G122:G124)^12/100^11-100</f>
        <v/>
      </c>
      <c r="J124" s="1" t="n">
        <v>99.93000000000001</v>
      </c>
      <c r="K124" s="23">
        <f>AVERAGE(J122:J124)^12/100^11-100</f>
        <v/>
      </c>
    </row>
    <row r="125">
      <c r="A125" s="18" t="n">
        <v>43891</v>
      </c>
      <c r="B125" s="1" t="n">
        <v>0.67</v>
      </c>
      <c r="C125" s="2">
        <f>B125+100</f>
        <v/>
      </c>
      <c r="D125" s="21">
        <f>C125*D124/100</f>
        <v/>
      </c>
      <c r="E125" s="35" t="n">
        <v>102.84</v>
      </c>
      <c r="F125" s="28" t="n">
        <v>207.061713653518</v>
      </c>
      <c r="G125" s="2">
        <f>F125/F124*100</f>
        <v/>
      </c>
      <c r="H125" s="23">
        <f>AVERAGE(G123:G125)^12/100^11-100</f>
        <v/>
      </c>
      <c r="J125" s="1" t="n">
        <v>100.42</v>
      </c>
      <c r="K125" s="23">
        <f>AVERAGE(J123:J125)^12/100^11-100</f>
        <v/>
      </c>
    </row>
    <row r="126">
      <c r="A126" s="18" t="n">
        <v>43922</v>
      </c>
      <c r="B126" s="1" t="n">
        <v>1.3</v>
      </c>
      <c r="C126" s="2">
        <f>B126+100</f>
        <v/>
      </c>
      <c r="D126" s="21">
        <f>C126*D125/100</f>
        <v/>
      </c>
      <c r="E126" s="35" t="n">
        <v>103.57</v>
      </c>
      <c r="F126" s="28" t="n">
        <v>207.522602573337</v>
      </c>
      <c r="G126" s="2">
        <f>F126/F125*100</f>
        <v/>
      </c>
      <c r="H126" s="23">
        <f>AVERAGE(G124:G126)^12/100^11-100</f>
        <v/>
      </c>
      <c r="J126" s="1" t="n">
        <v>101.06</v>
      </c>
      <c r="K126" s="23">
        <f>AVERAGE(J124:J126)^12/100^11-100</f>
        <v/>
      </c>
    </row>
    <row r="127">
      <c r="A127" s="18" t="n">
        <v>43952</v>
      </c>
      <c r="B127" s="1" t="n">
        <v>0.12</v>
      </c>
      <c r="C127" s="2">
        <f>B127+100</f>
        <v/>
      </c>
      <c r="D127" s="21">
        <f>C127*D126/100</f>
        <v/>
      </c>
      <c r="E127" s="35" t="n">
        <v>103.14</v>
      </c>
      <c r="F127" s="28" t="n">
        <v>208.339912842351</v>
      </c>
      <c r="G127" s="2">
        <f>F127/F126*100</f>
        <v/>
      </c>
      <c r="H127" s="23">
        <f>AVERAGE(G125:G127)^12/100^11-100</f>
        <v/>
      </c>
      <c r="J127" s="1" t="n">
        <v>100.19</v>
      </c>
      <c r="K127" s="23">
        <f>AVERAGE(J125:J127)^12/100^11-100</f>
        <v/>
      </c>
    </row>
    <row r="128">
      <c r="A128" s="18" t="n">
        <v>43983</v>
      </c>
      <c r="B128" s="1" t="n">
        <v>0.01</v>
      </c>
      <c r="C128" s="2">
        <f>B128+100</f>
        <v/>
      </c>
      <c r="D128" s="21">
        <f>C128*D127/100</f>
        <v/>
      </c>
      <c r="E128" s="35" t="n">
        <v>103.57</v>
      </c>
      <c r="F128" s="28" t="n">
        <v>208.768284671564</v>
      </c>
      <c r="G128" s="2">
        <f>F128/F127*100</f>
        <v/>
      </c>
      <c r="H128" s="23">
        <f>AVERAGE(G126:G128)^12/100^11-100</f>
        <v/>
      </c>
      <c r="J128" s="1" t="n">
        <v>100.35</v>
      </c>
      <c r="K128" s="23">
        <f>AVERAGE(J126:J128)^12/100^11-100</f>
        <v/>
      </c>
    </row>
    <row r="129">
      <c r="A129" s="18" t="n">
        <v>44013</v>
      </c>
      <c r="B129" s="1" t="n">
        <v>-0.15</v>
      </c>
      <c r="C129" s="2">
        <f>B129+100</f>
        <v/>
      </c>
      <c r="D129" s="21">
        <f>C129*D128/100</f>
        <v/>
      </c>
      <c r="E129" s="35" t="n">
        <v>103.5</v>
      </c>
      <c r="F129" s="28" t="n">
        <v>210.168075272609</v>
      </c>
      <c r="G129" s="2">
        <f>F129/F128*100</f>
        <v/>
      </c>
      <c r="H129" s="23">
        <f>AVERAGE(G127:G129)^12/100^11-100</f>
        <v/>
      </c>
      <c r="J129" s="1" t="n">
        <v>100.5</v>
      </c>
      <c r="K129" s="23">
        <f>AVERAGE(J127:J129)^12/100^11-100</f>
        <v/>
      </c>
    </row>
    <row r="130">
      <c r="A130" s="18" t="n">
        <v>44044</v>
      </c>
      <c r="B130" s="1" t="n">
        <v>0.11</v>
      </c>
      <c r="C130" s="2">
        <f>B130+100</f>
        <v/>
      </c>
      <c r="D130" s="21">
        <f>C130*D129/100</f>
        <v/>
      </c>
      <c r="E130" s="35" t="n">
        <v>103.79</v>
      </c>
      <c r="F130" s="28" t="n">
        <v>210.45291326355</v>
      </c>
      <c r="G130" s="2">
        <f>F130/F129*100</f>
        <v/>
      </c>
      <c r="H130" s="23">
        <f>AVERAGE(G128:G130)^12/100^11-100</f>
        <v/>
      </c>
      <c r="J130" s="1" t="n">
        <v>100.6</v>
      </c>
      <c r="K130" s="23">
        <f>AVERAGE(J128:J130)^12/100^11-100</f>
        <v/>
      </c>
    </row>
    <row r="131">
      <c r="A131" s="18" t="n">
        <v>44075</v>
      </c>
      <c r="B131" s="1" t="n">
        <v>0.13</v>
      </c>
      <c r="C131" s="2">
        <f>B131+100</f>
        <v/>
      </c>
      <c r="D131" s="21">
        <f>C131*D130/100</f>
        <v/>
      </c>
      <c r="E131" s="35" t="n">
        <v>104.26</v>
      </c>
      <c r="F131" s="28" t="n">
        <v>211.26750231937</v>
      </c>
      <c r="G131" s="2">
        <f>F131/F130*100</f>
        <v/>
      </c>
      <c r="H131" s="23">
        <f>AVERAGE(G129:G131)^12/100^11-100</f>
        <v/>
      </c>
      <c r="J131" s="1" t="n">
        <v>100.57</v>
      </c>
      <c r="K131" s="23">
        <f>AVERAGE(J129:J131)^12/100^11-100</f>
        <v/>
      </c>
    </row>
    <row r="132">
      <c r="A132" s="18" t="n">
        <v>44105</v>
      </c>
      <c r="B132" s="1" t="n">
        <v>0.5</v>
      </c>
      <c r="C132" s="2">
        <f>B132+100</f>
        <v/>
      </c>
      <c r="D132" s="21">
        <f>C132*D131/100</f>
        <v/>
      </c>
      <c r="E132" s="35" t="n">
        <v>104.47</v>
      </c>
      <c r="F132" s="28" t="n">
        <v>212.71260099406</v>
      </c>
      <c r="G132" s="2">
        <f>F132/F131*100</f>
        <v/>
      </c>
      <c r="H132" s="23">
        <f>AVERAGE(G130:G132)^12/100^11-100</f>
        <v/>
      </c>
      <c r="J132" s="1" t="n">
        <v>100.33</v>
      </c>
      <c r="K132" s="23">
        <f>AVERAGE(J130:J132)^12/100^11-100</f>
        <v/>
      </c>
    </row>
    <row r="133">
      <c r="A133" s="18" t="n">
        <v>44136</v>
      </c>
      <c r="B133" s="1" t="n">
        <v>0.78</v>
      </c>
      <c r="C133" s="2">
        <f>B133+100</f>
        <v/>
      </c>
      <c r="D133" s="21">
        <f>C133*D132/100</f>
        <v/>
      </c>
      <c r="E133" s="35" t="n">
        <v>104.87</v>
      </c>
      <c r="F133" s="28" t="n">
        <v>214.261809671961</v>
      </c>
      <c r="G133" s="2">
        <f>F133/F132*100</f>
        <v/>
      </c>
      <c r="H133" s="23">
        <f>AVERAGE(G131:G133)^12/100^11-100</f>
        <v/>
      </c>
      <c r="J133" s="1" t="n">
        <v>100.62</v>
      </c>
      <c r="K133" s="23">
        <f>AVERAGE(J131:J133)^12/100^11-100</f>
        <v/>
      </c>
    </row>
    <row r="134">
      <c r="A134" s="18" t="n">
        <v>44166</v>
      </c>
      <c r="B134" s="1" t="n">
        <v>0.9</v>
      </c>
      <c r="C134" s="2">
        <f>B134+100</f>
        <v/>
      </c>
      <c r="D134" s="21">
        <f>C134*D133/100</f>
        <v/>
      </c>
      <c r="E134" s="35" t="n">
        <v>105.39</v>
      </c>
      <c r="F134" s="28" t="n">
        <v>214.766019912882</v>
      </c>
      <c r="G134" s="2">
        <f>F134/F133*100</f>
        <v/>
      </c>
      <c r="H134" s="23">
        <f>AVERAGE(G132:G134)^12/100^11-100</f>
        <v/>
      </c>
      <c r="J134" s="1" t="n">
        <v>100.68</v>
      </c>
      <c r="K134" s="23">
        <f>AVERAGE(J132:J134)^12/100^11-100</f>
        <v/>
      </c>
    </row>
    <row r="135">
      <c r="A135" s="18" t="n">
        <v>44197</v>
      </c>
      <c r="B135" s="1" t="n">
        <v>0.6</v>
      </c>
      <c r="C135" s="2">
        <f>B135+100</f>
        <v/>
      </c>
      <c r="D135" s="21">
        <f>C135*D134/100</f>
        <v/>
      </c>
      <c r="E135" s="35" t="n">
        <v>105.49</v>
      </c>
      <c r="F135" s="28" t="n">
        <v>216.364768452585</v>
      </c>
      <c r="G135" s="2">
        <f>F135/F134*100</f>
        <v/>
      </c>
      <c r="H135" s="23">
        <f>AVERAGE(G133:G135)^12/100^11-100</f>
        <v/>
      </c>
      <c r="J135" s="1" t="n">
        <v>100.12</v>
      </c>
      <c r="K135" s="23">
        <f>AVERAGE(J133:J135)^12/100^11-100</f>
        <v/>
      </c>
    </row>
    <row r="136">
      <c r="A136" s="18" t="n">
        <v>44228</v>
      </c>
      <c r="B136" s="1" t="n">
        <v>1.03</v>
      </c>
      <c r="C136" s="2">
        <f>B136+100</f>
        <v/>
      </c>
      <c r="D136" s="21">
        <f>C136*D135/100</f>
        <v/>
      </c>
      <c r="E136" s="35" t="n">
        <v>106.16</v>
      </c>
      <c r="F136" s="28" t="n">
        <v>218.790058469081</v>
      </c>
      <c r="G136" s="2">
        <f>F136/F135*100</f>
        <v/>
      </c>
      <c r="H136" s="23">
        <f>AVERAGE(G134:G136)^12/100^11-100</f>
        <v/>
      </c>
      <c r="J136" s="1" t="n">
        <v>100.56</v>
      </c>
      <c r="K136" s="23">
        <f>AVERAGE(J134:J136)^12/100^11-100</f>
        <v/>
      </c>
    </row>
    <row r="137">
      <c r="A137" s="18" t="n">
        <v>44256</v>
      </c>
      <c r="B137" s="1" t="n">
        <v>1.31</v>
      </c>
      <c r="C137" s="2">
        <f>B137+100</f>
        <v/>
      </c>
      <c r="D137" s="21">
        <f>C137*D136/100</f>
        <v/>
      </c>
      <c r="E137" s="35" t="n">
        <v>106.83</v>
      </c>
      <c r="F137" s="28" t="n">
        <v>220.241833390074</v>
      </c>
      <c r="G137" s="2">
        <f>F137/F136*100</f>
        <v/>
      </c>
      <c r="H137" s="23">
        <f>AVERAGE(G135:G137)^12/100^11-100</f>
        <v/>
      </c>
      <c r="J137" s="1" t="n">
        <v>100.92</v>
      </c>
      <c r="K137" s="23">
        <f>AVERAGE(J135:J137)^12/100^11-100</f>
        <v/>
      </c>
    </row>
    <row r="138">
      <c r="A138" s="18" t="n">
        <v>44287</v>
      </c>
      <c r="B138" s="1" t="n">
        <v>0.86</v>
      </c>
      <c r="C138" s="2">
        <f>B138+100</f>
        <v/>
      </c>
      <c r="D138" s="21">
        <f>C138*D137/100</f>
        <v/>
      </c>
      <c r="E138" s="35" t="n">
        <v>106.37</v>
      </c>
      <c r="F138" s="28" t="n">
        <v>221.40894399053</v>
      </c>
      <c r="G138" s="2">
        <f>F138/F137*100</f>
        <v/>
      </c>
      <c r="H138" s="23">
        <f>AVERAGE(G136:G138)^12/100^11-100</f>
        <v/>
      </c>
      <c r="J138" s="1" t="n">
        <v>100.64</v>
      </c>
      <c r="K138" s="23">
        <f>AVERAGE(J136:J138)^12/100^11-100</f>
        <v/>
      </c>
    </row>
    <row r="139">
      <c r="A139" s="18" t="n">
        <v>44317</v>
      </c>
      <c r="B139" s="1" t="n">
        <v>0.41</v>
      </c>
      <c r="C139" s="2">
        <f>B139+100</f>
        <v/>
      </c>
      <c r="D139" s="21">
        <f>C139*D138/100</f>
        <v/>
      </c>
      <c r="E139" s="35" t="n">
        <v>106.69</v>
      </c>
      <c r="F139" s="28" t="n">
        <v>223.516453425889</v>
      </c>
      <c r="G139" s="2">
        <f>F139/F138*100</f>
        <v/>
      </c>
      <c r="H139" s="23">
        <f>AVERAGE(G137:G139)^12/100^11-100</f>
        <v/>
      </c>
      <c r="J139" s="1" t="n">
        <v>100.55</v>
      </c>
      <c r="K139" s="23">
        <f>AVERAGE(J137:J139)^12/100^11-100</f>
        <v/>
      </c>
    </row>
    <row r="140">
      <c r="A140" s="18" t="n">
        <v>44348</v>
      </c>
      <c r="B140" s="1" t="n">
        <v>0.5600000000000001</v>
      </c>
      <c r="C140" s="2">
        <f>B140+100</f>
        <v/>
      </c>
      <c r="D140" s="21">
        <f>C140*D139/100</f>
        <v/>
      </c>
      <c r="E140" s="35" t="n">
        <v>107.27</v>
      </c>
      <c r="F140" s="28" t="n">
        <v>224.801066546056</v>
      </c>
      <c r="G140" s="2">
        <f>F140/F139*100</f>
        <v/>
      </c>
      <c r="H140" s="23">
        <f>AVERAGE(G138:G140)^12/100^11-100</f>
        <v/>
      </c>
      <c r="J140" s="1" t="n">
        <v>100.91</v>
      </c>
      <c r="K140" s="23">
        <f>AVERAGE(J138:J140)^12/100^11-100</f>
        <v/>
      </c>
    </row>
    <row r="141">
      <c r="A141" s="18" t="n">
        <v>44378</v>
      </c>
      <c r="B141" s="1" t="n">
        <v>0.22</v>
      </c>
      <c r="C141" s="2">
        <f>B141+100</f>
        <v/>
      </c>
      <c r="D141" s="21">
        <f>C141*D140/100</f>
        <v/>
      </c>
      <c r="E141" s="35" t="n">
        <v>107.66</v>
      </c>
      <c r="F141" s="28" t="n">
        <v>226.450497250588</v>
      </c>
      <c r="G141" s="2">
        <f>F141/F140*100</f>
        <v/>
      </c>
      <c r="H141" s="23">
        <f>AVERAGE(G139:G141)^12/100^11-100</f>
        <v/>
      </c>
      <c r="J141" s="1" t="n">
        <v>101.05</v>
      </c>
      <c r="K141" s="23">
        <f>AVERAGE(J139:J141)^12/100^11-100</f>
        <v/>
      </c>
    </row>
    <row r="142">
      <c r="A142" s="18" t="n">
        <v>44409</v>
      </c>
      <c r="B142" s="1" t="n">
        <v>0.16</v>
      </c>
      <c r="C142" s="2">
        <f>B142+100</f>
        <v/>
      </c>
      <c r="D142" s="21">
        <f>C142*D141/100</f>
        <v/>
      </c>
      <c r="E142" s="35" t="n">
        <v>107.72</v>
      </c>
      <c r="F142" s="28" t="n">
        <v>228.03592744055</v>
      </c>
      <c r="G142" s="2">
        <f>F142/F141*100</f>
        <v/>
      </c>
      <c r="H142" s="23">
        <f>AVERAGE(G140:G142)^12/100^11-100</f>
        <v/>
      </c>
      <c r="J142" s="1" t="n">
        <v>100.69</v>
      </c>
      <c r="K142" s="23">
        <f>AVERAGE(J140:J142)^12/100^11-100</f>
        <v/>
      </c>
    </row>
    <row r="143">
      <c r="A143" s="18" t="n">
        <v>44440</v>
      </c>
      <c r="B143" s="1" t="n">
        <v>0.73</v>
      </c>
      <c r="C143" s="2">
        <f>B143+100</f>
        <v/>
      </c>
      <c r="D143" s="21">
        <f>C143*D142/100</f>
        <v/>
      </c>
      <c r="E143" s="35" t="n">
        <v>108.37</v>
      </c>
      <c r="F143" s="28" t="n">
        <v>229.828930601436</v>
      </c>
      <c r="G143" s="2">
        <f>F143/F142*100</f>
        <v/>
      </c>
      <c r="H143" s="23">
        <f>AVERAGE(G141:G143)^12/100^11-100</f>
        <v/>
      </c>
      <c r="J143" s="1" t="n">
        <v>101.16</v>
      </c>
      <c r="K143" s="23">
        <f>AVERAGE(J141:J143)^12/100^11-100</f>
        <v/>
      </c>
    </row>
    <row r="144">
      <c r="A144" s="18" t="n">
        <v>44470</v>
      </c>
      <c r="B144" s="1" t="n">
        <v>0.92</v>
      </c>
      <c r="C144" s="2">
        <f>B144+100</f>
        <v/>
      </c>
      <c r="D144" s="21">
        <f>C144*D143/100</f>
        <v/>
      </c>
      <c r="E144" s="35" t="n">
        <v>108.83</v>
      </c>
      <c r="F144" s="28" t="n">
        <v>231.583716513322</v>
      </c>
      <c r="G144" s="2">
        <f>F144/F143*100</f>
        <v/>
      </c>
      <c r="H144" s="23">
        <f>AVERAGE(G142:G144)^12/100^11-100</f>
        <v/>
      </c>
      <c r="J144" s="1" t="n">
        <v>100.78</v>
      </c>
      <c r="K144" s="23">
        <f>AVERAGE(J142:J144)^12/100^11-100</f>
        <v/>
      </c>
    </row>
    <row r="145">
      <c r="A145" s="18" t="n">
        <v>44501</v>
      </c>
      <c r="B145" s="1" t="n">
        <v>0.86</v>
      </c>
      <c r="C145" s="2">
        <f>B145+100</f>
        <v/>
      </c>
      <c r="D145" s="21">
        <f>C145*D144/100</f>
        <v/>
      </c>
      <c r="E145" s="35" t="n">
        <v>108.91</v>
      </c>
      <c r="F145" s="28" t="n">
        <v>231.754091099709</v>
      </c>
      <c r="G145" s="2">
        <f>F145/F144*100</f>
        <v/>
      </c>
      <c r="H145" s="23">
        <f>AVERAGE(G143:G145)^12/100^11-100</f>
        <v/>
      </c>
      <c r="J145" s="1" t="n">
        <v>100.52</v>
      </c>
      <c r="K145" s="23">
        <f>AVERAGE(J143:J145)^12/100^11-100</f>
        <v/>
      </c>
    </row>
    <row r="146">
      <c r="A146" s="18" t="n">
        <v>44531</v>
      </c>
      <c r="B146" s="1" t="n">
        <v>0.21</v>
      </c>
      <c r="C146" s="2">
        <f>B146+100</f>
        <v/>
      </c>
      <c r="D146" s="21">
        <f>C146*D145/100</f>
        <v/>
      </c>
      <c r="E146" s="35" t="n">
        <v>108.17</v>
      </c>
      <c r="F146" s="28" t="n">
        <v>233.668656159468</v>
      </c>
      <c r="G146" s="2">
        <f>F146/F145*100</f>
        <v/>
      </c>
      <c r="H146" s="23">
        <f>AVERAGE(G144:G146)^12/100^11-100</f>
        <v/>
      </c>
      <c r="J146" s="1" t="n">
        <v>100.11</v>
      </c>
      <c r="K146" s="23">
        <f>AVERAGE(J144:J146)^12/100^11-100</f>
        <v/>
      </c>
    </row>
    <row r="147">
      <c r="A147" s="18" t="n">
        <v>44562</v>
      </c>
      <c r="B147" s="1" t="n">
        <v>1.22</v>
      </c>
      <c r="C147" s="2">
        <f>B147+100</f>
        <v/>
      </c>
      <c r="D147" s="21">
        <f>C147*D146/100</f>
        <v/>
      </c>
      <c r="E147" s="35" t="n">
        <v>108.84</v>
      </c>
      <c r="F147" s="28" t="n">
        <v>235.162904836809</v>
      </c>
      <c r="G147" s="2">
        <f>F147/F146*100</f>
        <v/>
      </c>
      <c r="H147" s="23">
        <f>AVERAGE(G145:G147)^12/100^11-100</f>
        <v/>
      </c>
      <c r="J147" s="1" t="n">
        <v>100.62</v>
      </c>
      <c r="K147" s="23">
        <f>AVERAGE(J145:J147)^12/100^11-100</f>
        <v/>
      </c>
    </row>
    <row r="148">
      <c r="A148" s="18" t="n">
        <v>44593</v>
      </c>
      <c r="B148" s="1" t="n">
        <v>0.9399999999999999</v>
      </c>
      <c r="C148" s="2">
        <f>B148+100</f>
        <v/>
      </c>
      <c r="D148" s="21">
        <f>C148*D147/100</f>
        <v/>
      </c>
      <c r="E148" s="35" t="n">
        <v>108.73</v>
      </c>
      <c r="F148" s="28" t="n">
        <v>247.770853780677</v>
      </c>
      <c r="G148" s="2">
        <f>F148/F147*100</f>
        <v/>
      </c>
      <c r="H148" s="23">
        <f>AVERAGE(G146:G148)^12/100^11-100</f>
        <v/>
      </c>
      <c r="J148" s="1" t="n">
        <v>100.47</v>
      </c>
      <c r="K148" s="23">
        <f>AVERAGE(J146:J148)^12/100^11-100</f>
        <v/>
      </c>
    </row>
    <row r="149">
      <c r="A149" s="18" t="n">
        <v>44621</v>
      </c>
      <c r="B149" s="1" t="n">
        <v>5.55</v>
      </c>
      <c r="C149" s="2">
        <f>B149+100</f>
        <v/>
      </c>
      <c r="D149" s="21">
        <f>C149*D148/100</f>
        <v/>
      </c>
      <c r="E149" s="35" t="n">
        <v>113.29</v>
      </c>
      <c r="F149" s="28" t="n">
        <v>255.465558151283</v>
      </c>
      <c r="G149" s="2">
        <f>F149/F148*100</f>
        <v/>
      </c>
      <c r="H149" s="23">
        <f>AVERAGE(G147:G149)^12/100^11-100</f>
        <v/>
      </c>
      <c r="J149" s="1" t="n">
        <v>105.09</v>
      </c>
      <c r="K149" s="23">
        <f>AVERAGE(J147:J149)^12/100^11-100</f>
        <v/>
      </c>
    </row>
    <row r="150">
      <c r="A150" s="18" t="n">
        <v>44652</v>
      </c>
      <c r="B150" s="1" t="n">
        <v>3.28</v>
      </c>
      <c r="C150" s="2">
        <f>B150+100</f>
        <v/>
      </c>
      <c r="D150" s="21">
        <f>C150*D149/100</f>
        <v/>
      </c>
      <c r="E150" s="35" t="n">
        <v>116</v>
      </c>
      <c r="F150" s="28" t="n">
        <v>257.546918439976</v>
      </c>
      <c r="G150" s="2">
        <f>F150/F149*100</f>
        <v/>
      </c>
      <c r="H150" s="23">
        <f>AVERAGE(G148:G150)^12/100^11-100</f>
        <v/>
      </c>
      <c r="J150" s="1" t="n">
        <v>103</v>
      </c>
      <c r="K150" s="23">
        <f>AVERAGE(J148:J150)^12/100^11-100</f>
        <v/>
      </c>
    </row>
    <row r="151">
      <c r="A151" s="18" t="n">
        <v>44682</v>
      </c>
      <c r="B151" s="1" t="n">
        <v>0.68</v>
      </c>
      <c r="C151" s="2">
        <f>B151+100</f>
        <v/>
      </c>
      <c r="D151" s="21">
        <f>C151*D150/100</f>
        <v/>
      </c>
      <c r="E151" s="35" t="n">
        <v>116.31</v>
      </c>
      <c r="F151" s="28" t="n">
        <v>256.813522137018</v>
      </c>
      <c r="G151" s="2">
        <f>F151/F150*100</f>
        <v/>
      </c>
      <c r="H151" s="23">
        <f>AVERAGE(G149:G151)^12/100^11-100</f>
        <v/>
      </c>
      <c r="J151" s="1" t="n">
        <v>100.81</v>
      </c>
      <c r="K151" s="23">
        <f>AVERAGE(J149:J151)^12/100^11-100</f>
        <v/>
      </c>
    </row>
    <row r="152">
      <c r="A152" s="18" t="n">
        <v>44713</v>
      </c>
      <c r="B152" s="1" t="n">
        <v>-0.68</v>
      </c>
      <c r="C152" s="2">
        <f>B152+100</f>
        <v/>
      </c>
      <c r="D152" s="21">
        <f>C152*D151/100</f>
        <v/>
      </c>
      <c r="E152" s="35" t="n">
        <v>114.88</v>
      </c>
      <c r="F152" s="28" t="n">
        <v>255.717663240627</v>
      </c>
      <c r="G152" s="2">
        <f>F152/F151*100</f>
        <v/>
      </c>
      <c r="H152" s="23">
        <f>AVERAGE(G150:G152)^12/100^11-100</f>
        <v/>
      </c>
      <c r="J152" s="1" t="n">
        <v>99.70999999999999</v>
      </c>
      <c r="K152" s="23">
        <f>AVERAGE(J150:J152)^12/100^11-100</f>
        <v/>
      </c>
    </row>
    <row r="153">
      <c r="A153" s="18" t="n">
        <v>44743</v>
      </c>
      <c r="B153" s="1" t="n">
        <v>-0.77</v>
      </c>
      <c r="C153" s="2">
        <f>B153+100</f>
        <v/>
      </c>
      <c r="D153" s="21">
        <f>C153*D152/100</f>
        <v/>
      </c>
      <c r="E153" s="35" t="n">
        <v>113.75</v>
      </c>
      <c r="F153" s="28" t="n">
        <v>255.752775129826</v>
      </c>
      <c r="G153" s="2">
        <f>F153/F152*100</f>
        <v/>
      </c>
      <c r="H153" s="23">
        <f>AVERAGE(G151:G153)^12/100^11-100</f>
        <v/>
      </c>
      <c r="J153" s="1" t="n">
        <v>99.93000000000001</v>
      </c>
      <c r="K153" s="23">
        <f>AVERAGE(J151:J153)^12/100^11-100</f>
        <v/>
      </c>
    </row>
    <row r="154">
      <c r="A154" s="18" t="n">
        <v>44774</v>
      </c>
      <c r="B154" s="1" t="n">
        <v>-0.57</v>
      </c>
      <c r="C154" s="2">
        <f>B154+100</f>
        <v/>
      </c>
      <c r="D154" s="21">
        <f>C154*D153/100</f>
        <v/>
      </c>
      <c r="E154" s="35" t="n">
        <v>112.92</v>
      </c>
      <c r="F154" s="28" t="n">
        <v>256.427450112255</v>
      </c>
      <c r="G154" s="2">
        <f>F154/F153*100</f>
        <v/>
      </c>
      <c r="H154" s="23">
        <f>AVERAGE(G152:G154)^12/100^11-100</f>
        <v/>
      </c>
      <c r="J154" s="1" t="n">
        <v>100.03</v>
      </c>
      <c r="K154" s="23">
        <f>AVERAGE(J152:J154)^12/100^11-100</f>
        <v/>
      </c>
    </row>
    <row r="155">
      <c r="A155" s="18" t="n">
        <v>44805</v>
      </c>
      <c r="B155" s="1" t="n">
        <v>0.33</v>
      </c>
      <c r="C155" s="2">
        <f>B155+100</f>
        <v/>
      </c>
      <c r="D155" s="21">
        <f>C155*D154/100</f>
        <v/>
      </c>
      <c r="E155" s="35" t="n">
        <v>112.46</v>
      </c>
      <c r="F155" s="28" t="n">
        <v>257.737760667046</v>
      </c>
      <c r="G155" s="2">
        <f>F155/F154*100</f>
        <v/>
      </c>
      <c r="H155" s="23">
        <f>AVERAGE(G153:G155)^12/100^11-100</f>
        <v/>
      </c>
      <c r="J155" s="1" t="n">
        <v>100.63</v>
      </c>
      <c r="K155" s="23">
        <f>AVERAGE(J153:J155)^12/100^11-100</f>
        <v/>
      </c>
    </row>
    <row r="156">
      <c r="A156" s="18" t="n">
        <v>44835</v>
      </c>
      <c r="B156" s="1" t="n">
        <v>0.66</v>
      </c>
      <c r="C156" s="2">
        <f>B156+100</f>
        <v/>
      </c>
      <c r="D156" s="21">
        <f>C156*D155/100</f>
        <v/>
      </c>
      <c r="E156" s="35" t="n">
        <v>112.17</v>
      </c>
      <c r="F156" s="28" t="n">
        <v>258.163786033711</v>
      </c>
      <c r="G156" s="2">
        <f>F156/F155*100</f>
        <v/>
      </c>
      <c r="H156" s="23">
        <f>AVERAGE(G154:G156)^12/100^11-100</f>
        <v/>
      </c>
      <c r="J156" s="1" t="n">
        <v>100.53</v>
      </c>
      <c r="K156" s="23">
        <f>AVERAGE(J154:J156)^12/100^11-100</f>
        <v/>
      </c>
    </row>
    <row r="157">
      <c r="A157" s="18" t="n">
        <v>44866</v>
      </c>
      <c r="B157" s="1" t="n">
        <v>0.26</v>
      </c>
      <c r="C157" s="2">
        <f>B157+100</f>
        <v/>
      </c>
      <c r="D157" s="21">
        <f>C157*D156/100</f>
        <v/>
      </c>
      <c r="E157" s="35" t="n">
        <v>111.51</v>
      </c>
      <c r="F157" s="28" t="n">
        <v>259.34953183859</v>
      </c>
      <c r="G157" s="2">
        <f>F157/F156*100</f>
        <v/>
      </c>
      <c r="H157" s="23">
        <f>AVERAGE(G155:G157)^12/100^11-100</f>
        <v/>
      </c>
      <c r="J157" s="1" t="n">
        <v>99.94</v>
      </c>
      <c r="K157" s="23">
        <f>AVERAGE(J155:J157)^12/100^11-100</f>
        <v/>
      </c>
    </row>
    <row r="158">
      <c r="A158" s="18" t="n">
        <v>44896</v>
      </c>
      <c r="B158" s="1" t="n">
        <v>0.57</v>
      </c>
      <c r="C158" s="2">
        <f>B158+100</f>
        <v/>
      </c>
      <c r="D158" s="21">
        <f>C158*D157/100</f>
        <v/>
      </c>
      <c r="E158" s="35" t="n">
        <v>111.9</v>
      </c>
      <c r="F158" s="28" t="n">
        <v>261.202158892758</v>
      </c>
      <c r="G158" s="2">
        <f>F158/F157*100</f>
        <v/>
      </c>
      <c r="H158" s="23">
        <f>AVERAGE(G156:G158)^12/100^11-100</f>
        <v/>
      </c>
      <c r="J158" s="1" t="n">
        <v>100.25</v>
      </c>
      <c r="K158" s="23">
        <f>AVERAGE(J156:J158)^12/100^11-100</f>
        <v/>
      </c>
    </row>
    <row r="159">
      <c r="A159" s="18" t="n">
        <v>44927</v>
      </c>
      <c r="B159" s="1" t="n">
        <v>1.13</v>
      </c>
      <c r="C159" s="2">
        <f>B159+100</f>
        <v/>
      </c>
      <c r="D159" s="21">
        <f>C159*D158/100</f>
        <v/>
      </c>
      <c r="E159" s="35" t="n">
        <v>111.8</v>
      </c>
      <c r="F159" s="28" t="n">
        <v>262.351618366467</v>
      </c>
      <c r="G159" s="2">
        <f>F159/F158*100</f>
        <v/>
      </c>
      <c r="H159" s="23">
        <f>AVERAGE(G157:G159)^12/100^11-100</f>
        <v/>
      </c>
      <c r="J159" s="1" t="n">
        <v>100.64</v>
      </c>
      <c r="K159" s="23">
        <f>AVERAGE(J157:J159)^12/100^11-100</f>
        <v/>
      </c>
    </row>
    <row r="160">
      <c r="A160" s="18" t="n">
        <v>44958</v>
      </c>
      <c r="B160" s="1" t="n">
        <v>0.75</v>
      </c>
      <c r="C160" s="2">
        <f>B160+100</f>
        <v/>
      </c>
      <c r="D160" s="21">
        <f>C160*D159/100</f>
        <v/>
      </c>
      <c r="E160" s="35" t="n">
        <v>111.59</v>
      </c>
      <c r="F160" s="28" t="n">
        <v>262.933524859819</v>
      </c>
      <c r="G160" s="2">
        <f>F160/F159*100</f>
        <v/>
      </c>
      <c r="H160" s="23">
        <f>AVERAGE(G158:G160)^12/100^11-100</f>
        <v/>
      </c>
      <c r="J160" s="1" t="n">
        <v>100.36</v>
      </c>
      <c r="K160" s="23">
        <f>AVERAGE(J158:J160)^12/100^11-100</f>
        <v/>
      </c>
    </row>
    <row r="161">
      <c r="A161" s="18" t="n">
        <v>44986</v>
      </c>
      <c r="B161" s="1" t="n">
        <v>0.39</v>
      </c>
      <c r="C161" s="2">
        <f>B161+100</f>
        <v/>
      </c>
      <c r="D161" s="21">
        <f>C161*D160/100</f>
        <v/>
      </c>
      <c r="E161" s="35" t="n">
        <v>106.14</v>
      </c>
      <c r="F161" s="28" t="n">
        <v>264.466373464769</v>
      </c>
      <c r="G161" s="2">
        <f>F161/F160*100</f>
        <v/>
      </c>
      <c r="H161" s="23">
        <f>AVERAGE(G159:G161)^12/100^11-100</f>
        <v/>
      </c>
      <c r="J161" s="1" t="n">
        <v>100</v>
      </c>
      <c r="K161" s="23">
        <f>AVERAGE(J159:J161)^12/100^11-100</f>
        <v/>
      </c>
    </row>
    <row r="162">
      <c r="A162" s="18" t="n">
        <v>45017</v>
      </c>
      <c r="B162" s="1" t="n">
        <v>0.72</v>
      </c>
      <c r="C162" s="2">
        <f>B162+100</f>
        <v/>
      </c>
      <c r="D162" s="21">
        <f>C162*D161/100</f>
        <v/>
      </c>
      <c r="E162" s="35" t="n">
        <v>103.51</v>
      </c>
      <c r="F162" s="28" t="n">
        <v>264.209086928767</v>
      </c>
      <c r="G162" s="2">
        <f>F162/F161*100</f>
        <v/>
      </c>
      <c r="H162" s="23">
        <f>AVERAGE(G160:G162)^12/100^11-100</f>
        <v/>
      </c>
      <c r="J162" s="1" t="n">
        <v>100.54</v>
      </c>
      <c r="K162" s="23">
        <f>AVERAGE(J160:J162)^12/100^11-100</f>
        <v/>
      </c>
    </row>
    <row r="163">
      <c r="A163" s="18" t="n">
        <v>45047</v>
      </c>
      <c r="B163" s="1" t="n">
        <v>-0.25</v>
      </c>
      <c r="C163" s="2">
        <f>B163+100</f>
        <v/>
      </c>
      <c r="D163" s="21">
        <f>C163*D162/100</f>
        <v/>
      </c>
      <c r="E163" s="35" t="n">
        <v>102.55</v>
      </c>
      <c r="F163" s="28" t="n">
        <v>266.396599975821</v>
      </c>
      <c r="G163" s="2">
        <f>F163/F162*100</f>
        <v/>
      </c>
      <c r="H163" s="23">
        <f>AVERAGE(G161:G163)^12/100^11-100</f>
        <v/>
      </c>
      <c r="J163" s="1" t="n">
        <v>99.83</v>
      </c>
      <c r="K163" s="23">
        <f>AVERAGE(J161:J163)^12/100^11-100</f>
        <v/>
      </c>
    </row>
    <row r="164">
      <c r="A164" s="18" t="n">
        <v>45078</v>
      </c>
      <c r="B164" s="1" t="n">
        <v>0.43</v>
      </c>
      <c r="C164" s="2">
        <f>B164+100</f>
        <v/>
      </c>
      <c r="D164" s="21">
        <f>C164*D163/100</f>
        <v/>
      </c>
      <c r="E164" s="35" t="n">
        <v>103.69</v>
      </c>
      <c r="F164" s="28" t="n">
        <v>268.587445339413</v>
      </c>
      <c r="G164" s="2">
        <f>F164/F163*100</f>
        <v/>
      </c>
      <c r="H164" s="23">
        <f>AVERAGE(G162:G164)^12/100^11-100</f>
        <v/>
      </c>
      <c r="J164" s="1" t="n">
        <v>100.78</v>
      </c>
      <c r="K164" s="23">
        <f>AVERAGE(J162:J164)^12/100^11-100</f>
        <v/>
      </c>
    </row>
    <row r="165">
      <c r="A165" s="18" t="n">
        <v>45108</v>
      </c>
      <c r="B165" s="1" t="n">
        <v>0.5</v>
      </c>
      <c r="C165" s="2">
        <f>B165+100</f>
        <v/>
      </c>
      <c r="D165" s="21">
        <f>C165*D164/100</f>
        <v/>
      </c>
      <c r="E165" s="35" t="n">
        <v>105.03</v>
      </c>
      <c r="F165" s="28" t="n">
        <v>269.99097287346</v>
      </c>
      <c r="G165" s="2">
        <f>F165/F164*100</f>
        <v/>
      </c>
      <c r="H165" s="23">
        <f>AVERAGE(G163:G165)^12/100^11-100</f>
        <v/>
      </c>
      <c r="J165" s="1" t="n">
        <v>101.45</v>
      </c>
      <c r="K165" s="23">
        <f>AVERAGE(J163:J165)^12/100^11-100</f>
        <v/>
      </c>
    </row>
    <row r="166" ht="15.7" customHeight="1">
      <c r="A166" s="18" t="n">
        <v>45139</v>
      </c>
      <c r="B166" s="1" t="n">
        <v>-0.07000000000000001</v>
      </c>
      <c r="C166" s="2">
        <f>B166+100</f>
        <v/>
      </c>
      <c r="D166" s="21">
        <f>C166*D165/100</f>
        <v/>
      </c>
      <c r="E166" s="35" t="n">
        <v>105.56</v>
      </c>
      <c r="F166" s="28" t="n">
        <v>274.449128041679</v>
      </c>
      <c r="G166" s="2">
        <f>F166/F165*100</f>
        <v/>
      </c>
      <c r="H166" s="23">
        <f>AVERAGE(G164:G166)^12/100^11-100</f>
        <v/>
      </c>
      <c r="J166" s="1" t="n">
        <v>100.62</v>
      </c>
      <c r="K166" s="23">
        <f>AVERAGE(J164:J166)^12/100^11-100</f>
        <v/>
      </c>
    </row>
    <row r="167">
      <c r="A167" s="18" t="n">
        <v>45170</v>
      </c>
      <c r="B167" s="1" t="n">
        <v>1.75</v>
      </c>
      <c r="C167" s="2">
        <f>B167+100</f>
        <v/>
      </c>
      <c r="D167" s="21">
        <f>C167*D166/100</f>
        <v/>
      </c>
      <c r="E167" s="35" t="n">
        <v>107.05</v>
      </c>
      <c r="F167" s="28" t="n">
        <v>275.265154197858</v>
      </c>
      <c r="G167" s="2">
        <f>F167/F166*100</f>
        <v/>
      </c>
      <c r="H167" s="23">
        <f>AVERAGE(G165:G167)^12/100^11-100</f>
        <v/>
      </c>
      <c r="J167" s="1" t="n">
        <v>102.01</v>
      </c>
      <c r="K167" s="23">
        <f>AVERAGE(J165:J167)^12/100^11-100</f>
        <v/>
      </c>
      <c r="O167" s="18" t="n">
        <v>44256</v>
      </c>
      <c r="P167" s="18" t="n">
        <v>44896</v>
      </c>
      <c r="Q167" s="18" t="n">
        <v>44986</v>
      </c>
      <c r="R167" s="18" t="n">
        <v>45078</v>
      </c>
      <c r="S167" s="18" t="n">
        <v>45170</v>
      </c>
      <c r="T167" s="18" t="n">
        <v>45261</v>
      </c>
      <c r="U167" s="18" t="n">
        <v>45352</v>
      </c>
      <c r="V167" s="18" t="n">
        <v>45444</v>
      </c>
      <c r="W167" s="18" t="n">
        <v>45536</v>
      </c>
      <c r="X167" s="18" t="n">
        <v>45627</v>
      </c>
      <c r="Y167" s="18" t="n">
        <v>45717</v>
      </c>
      <c r="Z167" s="18" t="n">
        <v>45809</v>
      </c>
      <c r="AA167" s="18" t="n">
        <v>45901</v>
      </c>
      <c r="AB167" s="18" t="n">
        <v>45992</v>
      </c>
      <c r="AC167" s="18" t="n">
        <v>46082</v>
      </c>
      <c r="AD167" s="18" t="n">
        <v>46174</v>
      </c>
      <c r="AE167" s="18" t="n">
        <v>46266</v>
      </c>
      <c r="AF167" s="18" t="n">
        <v>46357</v>
      </c>
      <c r="AG167" s="18" t="n">
        <v>46447</v>
      </c>
      <c r="AH167" s="18" t="n">
        <v>46539</v>
      </c>
      <c r="AI167" s="18" t="n">
        <v>46631</v>
      </c>
      <c r="AJ167" s="18" t="n">
        <v>46722</v>
      </c>
      <c r="AK167" s="18" t="n"/>
    </row>
    <row r="168">
      <c r="A168" s="18" t="n">
        <v>45200</v>
      </c>
      <c r="B168" s="1" t="n">
        <v>0.46</v>
      </c>
      <c r="C168" s="2">
        <f>B168+100</f>
        <v/>
      </c>
      <c r="D168" s="21">
        <f>C168*D167/100</f>
        <v/>
      </c>
      <c r="E168" s="35" t="n">
        <v>106.84</v>
      </c>
      <c r="F168" s="28" t="n">
        <v>277.04336474852</v>
      </c>
      <c r="G168" s="2">
        <f>F168/F167*100</f>
        <v/>
      </c>
      <c r="H168" s="23">
        <f>AVERAGE(G166:G168)^12/100^11-100</f>
        <v/>
      </c>
      <c r="J168" s="1" t="n">
        <v>100.32</v>
      </c>
      <c r="K168" s="23">
        <f>AVERAGE(J166:J168)^12/100^11-100</f>
        <v/>
      </c>
      <c r="O168" s="121" t="n">
        <v>2021</v>
      </c>
      <c r="P168" s="123" t="n"/>
      <c r="Q168" s="127" t="n">
        <v>2023</v>
      </c>
      <c r="R168" s="128" t="n"/>
      <c r="S168" s="128" t="n"/>
      <c r="T168" s="129" t="n"/>
      <c r="U168" s="127" t="n">
        <v>2024</v>
      </c>
      <c r="V168" s="128" t="n"/>
      <c r="W168" s="128" t="n"/>
      <c r="X168" s="129" t="n"/>
      <c r="Y168" s="127" t="n">
        <v>2025</v>
      </c>
      <c r="Z168" s="128" t="n"/>
      <c r="AA168" s="128" t="n"/>
      <c r="AB168" s="129" t="n"/>
      <c r="AC168" s="127" t="n">
        <v>2026</v>
      </c>
      <c r="AD168" s="128" t="n"/>
      <c r="AE168" s="128" t="n"/>
      <c r="AF168" s="129" t="n"/>
      <c r="AG168" s="127" t="n">
        <v>2027</v>
      </c>
      <c r="AH168" s="128" t="n"/>
      <c r="AI168" s="128" t="n"/>
      <c r="AJ168" s="129" t="n"/>
    </row>
    <row r="169">
      <c r="A169" s="18" t="n">
        <v>45231</v>
      </c>
      <c r="B169" s="1" t="n">
        <v>0.74</v>
      </c>
      <c r="C169" s="2">
        <f>B169+100</f>
        <v/>
      </c>
      <c r="D169" s="21">
        <f>C169*D168/100</f>
        <v/>
      </c>
      <c r="E169" s="35" t="n">
        <v>107.34</v>
      </c>
      <c r="F169" s="28" t="n">
        <v>277.607890514295</v>
      </c>
      <c r="G169" s="2">
        <f>F169/F168*100</f>
        <v/>
      </c>
      <c r="H169" s="23">
        <f>AVERAGE(G167:G169)^12/100^11-100</f>
        <v/>
      </c>
      <c r="I169" s="2">
        <f>AVERAGE(G158:G169)^12/100^11-100</f>
        <v/>
      </c>
      <c r="J169" s="1" t="n">
        <v>100.36</v>
      </c>
      <c r="K169" s="23">
        <f>AVERAGE(J167:J169)^12/100^11-100</f>
        <v/>
      </c>
      <c r="O169" s="24" t="inlineStr">
        <is>
          <t>I кв.</t>
        </is>
      </c>
      <c r="P169" s="24" t="inlineStr">
        <is>
          <t>IV кв.</t>
        </is>
      </c>
      <c r="Q169" s="24" t="inlineStr">
        <is>
          <t>I кв.</t>
        </is>
      </c>
      <c r="R169" s="24" t="inlineStr">
        <is>
          <t>II кв.</t>
        </is>
      </c>
      <c r="S169" s="24" t="inlineStr">
        <is>
          <t>III кв.</t>
        </is>
      </c>
      <c r="T169" s="24" t="inlineStr">
        <is>
          <t>IV кв.</t>
        </is>
      </c>
      <c r="U169" s="24" t="inlineStr">
        <is>
          <t>I кв.</t>
        </is>
      </c>
      <c r="V169" s="24" t="inlineStr">
        <is>
          <t>II кв.</t>
        </is>
      </c>
      <c r="W169" s="24" t="inlineStr">
        <is>
          <t>III кв.</t>
        </is>
      </c>
      <c r="X169" s="24" t="inlineStr">
        <is>
          <t>IV кв.</t>
        </is>
      </c>
      <c r="Y169" s="24" t="inlineStr">
        <is>
          <t>I кв.</t>
        </is>
      </c>
      <c r="Z169" s="24" t="inlineStr">
        <is>
          <t>II кв.</t>
        </is>
      </c>
      <c r="AA169" s="24" t="inlineStr">
        <is>
          <t>III кв.</t>
        </is>
      </c>
      <c r="AB169" s="24" t="inlineStr">
        <is>
          <t>IV кв.</t>
        </is>
      </c>
      <c r="AC169" s="24" t="inlineStr">
        <is>
          <t>I кв.</t>
        </is>
      </c>
      <c r="AD169" s="24" t="inlineStr">
        <is>
          <t>II кв.</t>
        </is>
      </c>
      <c r="AE169" s="24" t="inlineStr">
        <is>
          <t>III кв.</t>
        </is>
      </c>
      <c r="AF169" s="24" t="inlineStr">
        <is>
          <t>IV кв.</t>
        </is>
      </c>
      <c r="AG169" s="24" t="inlineStr">
        <is>
          <t>I кв.</t>
        </is>
      </c>
      <c r="AH169" s="24" t="inlineStr">
        <is>
          <t>II кв.</t>
        </is>
      </c>
      <c r="AI169" s="24" t="inlineStr">
        <is>
          <t>III кв.</t>
        </is>
      </c>
      <c r="AJ169" s="24" t="inlineStr">
        <is>
          <t>IV кв.</t>
        </is>
      </c>
    </row>
    <row r="170">
      <c r="A170" s="18" t="n">
        <v>45261</v>
      </c>
      <c r="B170" s="1" t="n">
        <v>0.29</v>
      </c>
      <c r="C170" s="2">
        <f>B170+100</f>
        <v/>
      </c>
      <c r="D170" s="21">
        <f>C170*D169/100</f>
        <v/>
      </c>
      <c r="E170" s="35" t="n">
        <v>107.05</v>
      </c>
      <c r="F170" s="28" t="n">
        <v>278.83822033955</v>
      </c>
      <c r="G170" s="2">
        <f>F170/F169*100</f>
        <v/>
      </c>
      <c r="H170" s="23">
        <f>AVERAGE(G168:G170)^12/100^11-100</f>
        <v/>
      </c>
      <c r="I170" s="2">
        <f>AVERAGE(G159:G170)^12/100^11-100</f>
        <v/>
      </c>
      <c r="J170" s="1" t="n">
        <v>100.23</v>
      </c>
      <c r="K170" s="23">
        <f>AVERAGE(J168:J170)^12/100^11-100</f>
        <v/>
      </c>
      <c r="N170" s="20" t="inlineStr">
        <is>
          <t>3MMASAAR</t>
        </is>
      </c>
      <c r="O170" s="25">
        <f>SUMIFS($K$5:$K$206,$A$5:$A$206,O$167)</f>
        <v/>
      </c>
      <c r="P170" s="25">
        <f>SUMIFS($K$5:$K$206,$A$5:$A$206,P$167)</f>
        <v/>
      </c>
      <c r="Q170" s="25">
        <f>SUMIFS($K$5:$K$206,$A$5:$A$206,Q$167)</f>
        <v/>
      </c>
      <c r="R170" s="25">
        <f>SUMIFS($K$5:$K$206,$A$5:$A$206,R$167)</f>
        <v/>
      </c>
      <c r="S170" s="25">
        <f>SUMIFS($K$5:$K$206,$A$5:$A$206,S$167)</f>
        <v/>
      </c>
      <c r="T170" s="25">
        <f>SUMIFS($K$5:$K$206,$A$5:$A$206,T$167)</f>
        <v/>
      </c>
      <c r="U170" s="25">
        <f>SUMIFS($K$5:$K$206,$A$5:$A$206,U$167)</f>
        <v/>
      </c>
      <c r="V170" s="25">
        <f>SUMIFS($K$5:$K$206,$A$5:$A$206,V$167)</f>
        <v/>
      </c>
      <c r="W170" s="25">
        <f>SUMIFS($K$5:$K$206,$A$5:$A$206,W$167)</f>
        <v/>
      </c>
      <c r="X170" s="25">
        <f>SUMIFS($K$5:$K$206,$A$5:$A$206,X$167)</f>
        <v/>
      </c>
      <c r="Y170" s="25">
        <f>SUMIFS($K$5:$K$206,$A$5:$A$206,Y$167)</f>
        <v/>
      </c>
      <c r="Z170" s="25">
        <f>SUMIFS($K$5:$K$206,$A$5:$A$206,Z$167)</f>
        <v/>
      </c>
      <c r="AA170" s="25">
        <f>SUMIFS($K$5:$K$206,$A$5:$A$206,AA$167)</f>
        <v/>
      </c>
      <c r="AB170" s="25">
        <f>SUMIFS($K$5:$K$206,$A$5:$A$206,AB$167)</f>
        <v/>
      </c>
      <c r="AC170" s="25">
        <f>SUMIFS($K$5:$K$206,$A$5:$A$206,AC$167)</f>
        <v/>
      </c>
      <c r="AD170" s="25">
        <f>SUMIFS($K$5:$K$206,$A$5:$A$206,AD$167)</f>
        <v/>
      </c>
      <c r="AE170" s="25">
        <f>SUMIFS($K$5:$K$206,$A$5:$A$206,AE$167)</f>
        <v/>
      </c>
      <c r="AF170" s="25">
        <f>SUMIFS($K$5:$K$206,$A$5:$A$206,AF$167)</f>
        <v/>
      </c>
      <c r="AG170" s="25">
        <f>SUMIFS($K$5:$K$218,$A$5:$A$218,AG$167)</f>
        <v/>
      </c>
      <c r="AH170" s="25">
        <f>SUMIFS($K$5:$K$218,$A$5:$A$218,AH$167)</f>
        <v/>
      </c>
      <c r="AI170" s="25">
        <f>SUMIFS($K$5:$K$218,$A$5:$A$218,AI$167)</f>
        <v/>
      </c>
      <c r="AJ170" s="25">
        <f>SUMIFS($K$5:$K$218,$A$5:$A$218,AJ$167)</f>
        <v/>
      </c>
    </row>
    <row r="171">
      <c r="A171" s="18" t="n">
        <v>45292</v>
      </c>
      <c r="B171" s="1" t="n">
        <v>0.87</v>
      </c>
      <c r="C171" s="2">
        <f>B171+100</f>
        <v/>
      </c>
      <c r="D171" s="21">
        <f>C171*D170/100</f>
        <v/>
      </c>
      <c r="E171" s="36" t="n">
        <v>106.77</v>
      </c>
      <c r="F171" s="28" t="n">
        <v>279.424341359558</v>
      </c>
      <c r="G171" s="2">
        <f>F171/F170*100</f>
        <v/>
      </c>
      <c r="H171" s="23">
        <f>AVERAGE(G169:G171)^12/100^11-100</f>
        <v/>
      </c>
      <c r="I171" s="2">
        <f>AVERAGE(G160:G171)^12/100^11-100</f>
        <v/>
      </c>
      <c r="J171" s="1" t="n">
        <v>100.36</v>
      </c>
      <c r="K171" s="23">
        <f>AVERAGE(J169:J171)^12/100^11-100</f>
        <v/>
      </c>
      <c r="N171" s="19" t="inlineStr">
        <is>
          <t>YoY</t>
        </is>
      </c>
      <c r="O171" s="25">
        <f>IF(SUMIFS($E$5:$E$206,$A$5:$A$206,O$167)&gt;90,SUMIFS($E$5:$E$206,$A$5:$A$206,O$167)-100,SUMIFS($E$5:$E$206,$A$5:$A$206,O$167))</f>
        <v/>
      </c>
      <c r="P171" s="25">
        <f>IF(SUMIFS($E$5:$E$206,$A$5:$A$206,P$167)&gt;90,SUMIFS($E$5:$E$206,$A$5:$A$206,P$167)-100,SUMIFS($E$5:$E$206,$A$5:$A$206,P$167))</f>
        <v/>
      </c>
      <c r="Q171" s="25">
        <f>IF(SUMIFS($E$5:$E$206,$A$5:$A$206,Q$167)&gt;90,SUMIFS($E$5:$E$206,$A$5:$A$206,Q$167)-100,SUMIFS($E$5:$E$206,$A$5:$A$206,Q$167))</f>
        <v/>
      </c>
      <c r="R171" s="25">
        <f>IF(SUMIFS($E$5:$E$206,$A$5:$A$206,R$167)&gt;90,SUMIFS($E$5:$E$206,$A$5:$A$206,R$167)-100,SUMIFS($E$5:$E$206,$A$5:$A$206,R$167))</f>
        <v/>
      </c>
      <c r="S171" s="25">
        <f>IF(SUMIFS($E$5:$E$206,$A$5:$A$206,S$167)&gt;90,SUMIFS($E$5:$E$206,$A$5:$A$206,S$167)-100,SUMIFS($E$5:$E$206,$A$5:$A$206,S$167))</f>
        <v/>
      </c>
      <c r="T171" s="25">
        <f>IF(SUMIFS($E$5:$E$206,$A$5:$A$206,T$167)&gt;90,SUMIFS($E$5:$E$206,$A$5:$A$206,T$167)-100,SUMIFS($E$5:$E$206,$A$5:$A$206,T$167))</f>
        <v/>
      </c>
      <c r="U171" s="25">
        <f>IF(SUMIFS($E$5:$E$206,$A$5:$A$206,U$167)&gt;90,SUMIFS($E$5:$E$206,$A$5:$A$206,U$167)-100,SUMIFS($E$5:$E$206,$A$5:$A$206,U$167))</f>
        <v/>
      </c>
      <c r="V171" s="25">
        <f>IF(SUMIFS($E$5:$E$206,$A$5:$A$206,V$167)&gt;90,SUMIFS($E$5:$E$206,$A$5:$A$206,V$167)-100,SUMIFS($E$5:$E$206,$A$5:$A$206,V$167))</f>
        <v/>
      </c>
      <c r="W171" s="25">
        <f>IF(SUMIFS($E$5:$E$206,$A$5:$A$206,W$167)&gt;90,SUMIFS($E$5:$E$206,$A$5:$A$206,W$167)-100,SUMIFS($E$5:$E$206,$A$5:$A$206,W$167))</f>
        <v/>
      </c>
      <c r="X171" s="25">
        <f>IF(SUMIFS($E$5:$E$206,$A$5:$A$206,X$167)&gt;90,SUMIFS($E$5:$E$206,$A$5:$A$206,X$167)-100,SUMIFS($E$5:$E$206,$A$5:$A$206,X$167))</f>
        <v/>
      </c>
      <c r="Y171" s="25">
        <f>IF(SUMIFS($E$5:$E$206,$A$5:$A$206,Y$167)&gt;90,SUMIFS($E$5:$E$206,$A$5:$A$206,Y$167)-100,SUMIFS($E$5:$E$206,$A$5:$A$206,Y$167))</f>
        <v/>
      </c>
      <c r="Z171" s="25">
        <f>IF(SUMIFS($E$5:$E$206,$A$5:$A$206,Z$167)&gt;90,SUMIFS($E$5:$E$206,$A$5:$A$206,Z$167)-100,SUMIFS($E$5:$E$206,$A$5:$A$206,Z$167))</f>
        <v/>
      </c>
      <c r="AA171" s="25">
        <f>IF(SUMIFS($E$5:$E$206,$A$5:$A$206,AA$167)&gt;90,SUMIFS($E$5:$E$206,$A$5:$A$206,AA$167)-100,SUMIFS($E$5:$E$206,$A$5:$A$206,AA$167))</f>
        <v/>
      </c>
      <c r="AB171" s="25">
        <f>IF(SUMIFS($E$5:$E$206,$A$5:$A$206,AB$167)&gt;90,SUMIFS($E$5:$E$206,$A$5:$A$206,AB$167)-100,SUMIFS($E$5:$E$206,$A$5:$A$206,AB$167))</f>
        <v/>
      </c>
      <c r="AC171" s="25">
        <f>IF(SUMIFS($E$5:$E$206,$A$5:$A$206,AC$167)&gt;90,SUMIFS($E$5:$E$206,$A$5:$A$206,AC$167)-100,SUMIFS($E$5:$E$206,$A$5:$A$206,AC$167))</f>
        <v/>
      </c>
      <c r="AD171" s="25">
        <f>IF(SUMIFS($E$5:$E$206,$A$5:$A$206,AD$167)&gt;90,SUMIFS($E$5:$E$206,$A$5:$A$206,AD$167)-100,SUMIFS($E$5:$E$206,$A$5:$A$206,AD$167))</f>
        <v/>
      </c>
      <c r="AE171" s="25">
        <f>IF(SUMIFS($E$5:$E$206,$A$5:$A$206,AE$167)&gt;90,SUMIFS($E$5:$E$206,$A$5:$A$206,AE$167)-100,SUMIFS($E$5:$E$206,$A$5:$A$206,AE$167))</f>
        <v/>
      </c>
      <c r="AF171" s="25">
        <f>IF(SUMIFS($E$5:$E$206,$A$5:$A$206,AF$167)&gt;90,SUMIFS($E$5:$E$206,$A$5:$A$206,AF$167)-100,SUMIFS($E$5:$E$206,$A$5:$A$206,AF$167))</f>
        <v/>
      </c>
      <c r="AG171" s="25">
        <f>IF(SUMIFS($E$5:$E$218,$A$5:$A$218,AG$167)&gt;90,SUMIFS($E$5:$E$218,$A$5:$A$218,AG$167)-100,SUMIFS($E$5:$E$218,$A$5:$A$218,AG$167))</f>
        <v/>
      </c>
      <c r="AH171" s="25">
        <f>IF(SUMIFS($E$5:$E$218,$A$5:$A$218,AH$167)&gt;90,SUMIFS($E$5:$E$218,$A$5:$A$218,AH$167)-100,SUMIFS($E$5:$E$218,$A$5:$A$218,AH$167))</f>
        <v/>
      </c>
      <c r="AI171" s="25">
        <f>IF(SUMIFS($E$5:$E$218,$A$5:$A$218,AI$167)&gt;90,SUMIFS($E$5:$E$218,$A$5:$A$218,AI$167)-100,SUMIFS($E$5:$E$218,$A$5:$A$218,AI$167))</f>
        <v/>
      </c>
      <c r="AJ171" s="25">
        <f>IF(SUMIFS($E$5:$E$218,$A$5:$A$218,AJ$167)&gt;90,SUMIFS($E$5:$E$218,$A$5:$A$218,AJ$167)-100,SUMIFS($E$5:$E$218,$A$5:$A$218,AJ$167))</f>
        <v/>
      </c>
    </row>
    <row r="172">
      <c r="A172" s="18" t="n">
        <v>45323</v>
      </c>
      <c r="B172" s="1" t="n">
        <v>0.53</v>
      </c>
      <c r="C172" s="8">
        <f>Прогноз!E28</f>
        <v/>
      </c>
      <c r="D172" s="21">
        <f>C172*D171/100</f>
        <v/>
      </c>
      <c r="E172" s="36" t="n">
        <v>106.54</v>
      </c>
      <c r="F172" s="28" t="n">
        <v>280.456669628795</v>
      </c>
      <c r="G172" s="2">
        <f>F172/F171*100</f>
        <v/>
      </c>
      <c r="H172" s="23">
        <f>AVERAGE(G170:G172)^12/100^11-100</f>
        <v/>
      </c>
      <c r="I172" s="2">
        <f>AVERAGE(G161:G172)^12/100^11-100</f>
        <v/>
      </c>
      <c r="J172" s="1" t="n">
        <v>100.09</v>
      </c>
      <c r="K172" s="23">
        <f>AVERAGE(J170:J172)^12/100^11-100</f>
        <v/>
      </c>
    </row>
    <row r="173">
      <c r="A173" s="18" t="n">
        <v>45352</v>
      </c>
      <c r="B173" s="1" t="n">
        <v>0.53</v>
      </c>
      <c r="C173" s="8">
        <f>Прогноз!E29</f>
        <v/>
      </c>
      <c r="D173" s="21">
        <f>C173*D172/100</f>
        <v/>
      </c>
      <c r="E173" s="36" t="n">
        <v>106.68</v>
      </c>
      <c r="F173" s="28" t="n">
        <v>281.228290885674</v>
      </c>
      <c r="G173" s="2">
        <f>F173/F172*100</f>
        <v/>
      </c>
      <c r="H173" s="23">
        <f>AVERAGE(G171:G173)^12/100^11-100</f>
        <v/>
      </c>
      <c r="I173" s="2">
        <f>AVERAGE(G162:G173)^12/100^11-100</f>
        <v/>
      </c>
      <c r="J173" s="1" t="n">
        <v>100.2</v>
      </c>
      <c r="K173" s="23">
        <f>AVERAGE(J171:J173)^12/100^11-100</f>
        <v/>
      </c>
    </row>
    <row r="174">
      <c r="A174" s="18" t="n">
        <v>45383</v>
      </c>
      <c r="C174" s="8">
        <f>Прогноз!E30</f>
        <v/>
      </c>
      <c r="D174" s="21">
        <f>C174*D173/100</f>
        <v/>
      </c>
      <c r="E174" s="36" t="n">
        <v>106.32</v>
      </c>
      <c r="F174" s="28" t="n">
        <v>284.344100798409</v>
      </c>
      <c r="G174" s="2">
        <f>F174/F173*100</f>
        <v/>
      </c>
      <c r="H174" s="23">
        <f>AVERAGE(G172:G174)^12/100^11-100</f>
        <v/>
      </c>
      <c r="I174" s="2">
        <f>AVERAGE(G163:G174)^12/100^11-100</f>
        <v/>
      </c>
      <c r="J174" s="1" t="n">
        <v>100.26</v>
      </c>
      <c r="K174" s="23">
        <f>AVERAGE(J172:J174)^12/100^11-100</f>
        <v/>
      </c>
    </row>
    <row r="175">
      <c r="A175" s="18" t="n">
        <v>45413</v>
      </c>
      <c r="C175" s="8">
        <f>Прогноз!E31</f>
        <v/>
      </c>
      <c r="D175" s="21">
        <f>C175*D174/100</f>
        <v/>
      </c>
      <c r="E175" s="36" t="n">
        <v>107.59</v>
      </c>
      <c r="F175" s="28" t="n">
        <v>285.984097037176</v>
      </c>
      <c r="G175" s="2">
        <f>F175/F174*100</f>
        <v/>
      </c>
      <c r="H175" s="23">
        <f>AVERAGE(G173:G175)^12/100^11-100</f>
        <v/>
      </c>
      <c r="I175" s="2">
        <f>AVERAGE(G164:G175)^12/100^11-100</f>
        <v/>
      </c>
      <c r="J175" s="1" t="n">
        <v>100.97</v>
      </c>
      <c r="K175" s="23">
        <f>AVERAGE(J173:J175)^12/100^11-100</f>
        <v/>
      </c>
    </row>
    <row r="176">
      <c r="A176" s="18" t="n">
        <v>45444</v>
      </c>
      <c r="C176" s="8">
        <f>Прогноз!E32</f>
        <v/>
      </c>
      <c r="D176" s="21">
        <f>C176*D175/100</f>
        <v/>
      </c>
      <c r="E176" s="36" t="n">
        <v>107.33</v>
      </c>
      <c r="F176" s="28" t="n">
        <v>289.919725985218</v>
      </c>
      <c r="G176" s="2">
        <f>F176/F175*100</f>
        <v/>
      </c>
      <c r="H176" s="23">
        <f>AVERAGE(G174:G176)^12/100^11-100</f>
        <v/>
      </c>
      <c r="I176" s="2">
        <f>AVERAGE(G165:G176)^12/100^11-100</f>
        <v/>
      </c>
      <c r="J176" s="1" t="n">
        <v>100.5</v>
      </c>
      <c r="K176" s="23">
        <f>AVERAGE(J174:J176)^12/100^11-100</f>
        <v/>
      </c>
    </row>
    <row r="177">
      <c r="A177" s="18" t="n">
        <v>45474</v>
      </c>
      <c r="C177" s="8">
        <f>Прогноз!E33</f>
        <v/>
      </c>
      <c r="D177" s="21">
        <f>C177*D176/100</f>
        <v/>
      </c>
      <c r="E177" s="36" t="n">
        <v>107.94</v>
      </c>
      <c r="F177" s="28" t="n">
        <v>291.921449281784</v>
      </c>
      <c r="G177" s="2">
        <f>F177/F176*100</f>
        <v/>
      </c>
      <c r="H177" s="23">
        <f>AVERAGE(G175:G177)^12/100^11-100</f>
        <v/>
      </c>
      <c r="I177" s="2">
        <f>AVERAGE(G166:G177)^12/100^11-100</f>
        <v/>
      </c>
      <c r="J177" s="1" t="n">
        <v>101.74</v>
      </c>
      <c r="K177" s="23">
        <f>AVERAGE(J175:J177)^12/100^11-100</f>
        <v/>
      </c>
    </row>
    <row r="178">
      <c r="A178" s="18" t="n">
        <v>45505</v>
      </c>
      <c r="C178" s="31">
        <f>Прогноз!E34</f>
        <v/>
      </c>
      <c r="D178" s="21">
        <f>C178*D177/100</f>
        <v/>
      </c>
      <c r="E178" s="5">
        <f>Прогноз!F34</f>
        <v/>
      </c>
      <c r="F178" s="28" t="n">
        <v>293.414217304472</v>
      </c>
      <c r="G178" s="2">
        <f>F178/F177*100</f>
        <v/>
      </c>
      <c r="H178" s="23">
        <f>AVERAGE(G176:G178)^12/100^11-100</f>
        <v/>
      </c>
      <c r="I178" s="2">
        <f>AVERAGE(G167:G178)^12/100^11-100</f>
        <v/>
      </c>
      <c r="J178" s="1" t="n">
        <v>100.82</v>
      </c>
      <c r="K178" s="23">
        <f>AVERAGE(J176:J178)^12/100^11-100</f>
        <v/>
      </c>
    </row>
    <row r="179">
      <c r="A179" s="18" t="n">
        <v>45536</v>
      </c>
      <c r="C179" s="31">
        <f>Прогноз!E35</f>
        <v/>
      </c>
      <c r="D179" s="21">
        <f>C179*D178/100</f>
        <v/>
      </c>
      <c r="E179" s="5">
        <f>Прогноз!F35</f>
        <v/>
      </c>
      <c r="F179" s="28" t="n">
        <v>295.880059215935</v>
      </c>
      <c r="G179" s="2">
        <f>F179/F178*100</f>
        <v/>
      </c>
      <c r="H179" s="23">
        <f>AVERAGE(G177:G179)^12/100^11-100</f>
        <v/>
      </c>
      <c r="I179" s="2">
        <f>AVERAGE(G168:G179)^12/100^11-100</f>
        <v/>
      </c>
      <c r="J179" s="1" t="n">
        <v>100.91</v>
      </c>
      <c r="K179" s="23">
        <f>AVERAGE(J177:J179)^12/100^11-100</f>
        <v/>
      </c>
    </row>
    <row r="180">
      <c r="A180" s="18" t="n">
        <v>45566</v>
      </c>
      <c r="C180" s="31">
        <f>Прогноз!E36</f>
        <v/>
      </c>
      <c r="D180" s="21">
        <f>C180*D179/100</f>
        <v/>
      </c>
      <c r="E180" s="5">
        <f>Прогноз!F36</f>
        <v/>
      </c>
      <c r="F180" s="28" t="n">
        <v>300.042951064393</v>
      </c>
      <c r="G180" s="2">
        <f>F180/F179*100</f>
        <v/>
      </c>
      <c r="H180" s="23">
        <f>AVERAGE(G178:G180)^12/100^11-100</f>
        <v/>
      </c>
      <c r="I180" s="2">
        <f>AVERAGE(G169:G180)^12/100^11-100</f>
        <v/>
      </c>
      <c r="J180" s="1" t="n">
        <v>100.94</v>
      </c>
      <c r="K180" s="23">
        <f>AVERAGE(J178:J180)^12/100^11-100</f>
        <v/>
      </c>
    </row>
    <row r="181">
      <c r="A181" s="18" t="n">
        <v>45597</v>
      </c>
      <c r="C181" s="31">
        <f>Прогноз!E37</f>
        <v/>
      </c>
      <c r="D181" s="21">
        <f>C181*D180/100</f>
        <v/>
      </c>
      <c r="E181" s="5">
        <f>Прогноз!F37</f>
        <v/>
      </c>
      <c r="F181" s="28" t="n">
        <v>302.563725691339</v>
      </c>
      <c r="G181" s="2">
        <f>F181/F180*100</f>
        <v/>
      </c>
      <c r="H181" s="23">
        <f>AVERAGE(G179:G181)^12/100^11-100</f>
        <v/>
      </c>
      <c r="I181" s="2">
        <f>AVERAGE(G170:G181)^12/100^11-100</f>
        <v/>
      </c>
      <c r="J181" s="1" t="n">
        <v>101.17</v>
      </c>
      <c r="K181" s="23">
        <f>AVERAGE(J179:J181)^12/100^11-100</f>
        <v/>
      </c>
    </row>
    <row r="182">
      <c r="A182" s="18" t="n">
        <v>45627</v>
      </c>
      <c r="C182" s="31">
        <f>Прогноз!E38</f>
        <v/>
      </c>
      <c r="D182" s="21">
        <f>C182*D181/100</f>
        <v/>
      </c>
      <c r="E182" s="5">
        <f>Прогноз!F38</f>
        <v/>
      </c>
      <c r="F182" s="28" t="n">
        <v>303.759083172251</v>
      </c>
      <c r="G182" s="2">
        <f>F182/F181*100</f>
        <v/>
      </c>
      <c r="H182" s="23">
        <f>AVERAGE(G180:G182)^12/100^11-100</f>
        <v/>
      </c>
      <c r="I182" s="2">
        <f>AVERAGE(G171:G182)^12/100^11-100</f>
        <v/>
      </c>
      <c r="J182" s="1" t="n">
        <v>100.86</v>
      </c>
      <c r="K182" s="23">
        <f>AVERAGE(J180:J182)^12/100^11-100</f>
        <v/>
      </c>
    </row>
    <row r="183">
      <c r="A183" s="18" t="n">
        <v>45658</v>
      </c>
      <c r="C183" s="31">
        <f>Прогноз!E39</f>
        <v/>
      </c>
      <c r="D183" s="21">
        <f>C183*D182/100</f>
        <v/>
      </c>
      <c r="E183" s="5">
        <f>Прогноз!F39</f>
        <v/>
      </c>
      <c r="F183" s="28" t="n">
        <v>306.795358806811</v>
      </c>
      <c r="G183" s="2">
        <f>F183/F182*100</f>
        <v/>
      </c>
      <c r="H183" s="23">
        <f>AVERAGE(G181:G183)^12/100^11-100</f>
        <v/>
      </c>
      <c r="I183" s="2">
        <f>AVERAGE(G172:G183)^12/100^11-100</f>
        <v/>
      </c>
      <c r="J183" s="1" t="n">
        <v>100.28</v>
      </c>
      <c r="K183" s="23">
        <f>AVERAGE(J181:J183)^12/100^11-100</f>
        <v/>
      </c>
    </row>
    <row r="184">
      <c r="A184" s="18" t="n">
        <v>45689</v>
      </c>
      <c r="C184" s="31">
        <f>Прогноз!E40</f>
        <v/>
      </c>
      <c r="D184" s="21">
        <f>C184*D183/100</f>
        <v/>
      </c>
      <c r="E184" s="5">
        <f>Прогноз!F40</f>
        <v/>
      </c>
      <c r="F184" s="28" t="n">
        <v>308.780467987434</v>
      </c>
      <c r="G184" s="2">
        <f>F184/F183*100</f>
        <v/>
      </c>
      <c r="H184" s="23">
        <f>AVERAGE(G182:G184)^12/100^11-100</f>
        <v/>
      </c>
      <c r="I184" s="2">
        <f>AVERAGE(G173:G184)^12/100^11-100</f>
        <v/>
      </c>
      <c r="J184" s="1" t="n">
        <v>100.88</v>
      </c>
      <c r="K184" s="23">
        <f>AVERAGE(J182:J184)^12/100^11-100</f>
        <v/>
      </c>
    </row>
    <row r="185">
      <c r="A185" s="18" t="n">
        <v>45717</v>
      </c>
      <c r="C185" s="31">
        <f>Прогноз!E41</f>
        <v/>
      </c>
      <c r="D185" s="21">
        <f>C185*D184/100</f>
        <v/>
      </c>
      <c r="E185" s="5">
        <f>Прогноз!F41</f>
        <v/>
      </c>
      <c r="F185" s="28" t="n">
        <v>310.171132961781</v>
      </c>
      <c r="G185" s="2">
        <f>F185/F184*100</f>
        <v/>
      </c>
      <c r="H185" s="23">
        <f>AVERAGE(G183:G185)^12/100^11-100</f>
        <v/>
      </c>
      <c r="I185" s="2">
        <f>AVERAGE(G174:G185)^12/100^11-100</f>
        <v/>
      </c>
      <c r="J185" s="1" t="n">
        <v>100.35</v>
      </c>
      <c r="K185" s="23">
        <f>AVERAGE(J183:J185)^12/100^11-100</f>
        <v/>
      </c>
    </row>
    <row r="186">
      <c r="A186" s="18" t="n">
        <v>45748</v>
      </c>
      <c r="C186" s="31">
        <f>Прогноз!E42</f>
        <v/>
      </c>
      <c r="D186" s="21">
        <f>C186*D185/100</f>
        <v/>
      </c>
      <c r="E186" s="5">
        <f>Прогноз!F42</f>
        <v/>
      </c>
      <c r="F186" s="28" t="n">
        <v>310.516986037509</v>
      </c>
      <c r="G186" s="2">
        <f>F186/F185*100</f>
        <v/>
      </c>
      <c r="H186" s="23">
        <f>AVERAGE(G184:G186)^12/100^11-100</f>
        <v/>
      </c>
      <c r="I186" s="2">
        <f>AVERAGE(G175:G186)^12/100^11-100</f>
        <v/>
      </c>
      <c r="J186" s="1" t="n">
        <v>100.25</v>
      </c>
      <c r="K186" s="23">
        <f>AVERAGE(J184:J186)^12/100^11-100</f>
        <v/>
      </c>
    </row>
    <row r="187">
      <c r="A187" s="18" t="n">
        <v>45778</v>
      </c>
      <c r="C187" s="31">
        <f>Прогноз!E43</f>
        <v/>
      </c>
      <c r="D187" s="21">
        <f>C187*D186/100</f>
        <v/>
      </c>
      <c r="E187" s="5">
        <f>Прогноз!F43</f>
        <v/>
      </c>
      <c r="F187" s="28" t="n">
        <v>311.623855320091</v>
      </c>
      <c r="G187" s="2">
        <f>F187/F186*100</f>
        <v/>
      </c>
      <c r="H187" s="23">
        <f>AVERAGE(G185:G187)^12/100^11-100</f>
        <v/>
      </c>
      <c r="I187" s="2">
        <f>AVERAGE(G176:G187)^12/100^11-100</f>
        <v/>
      </c>
      <c r="J187" s="1" t="n">
        <v>99.98</v>
      </c>
      <c r="K187" s="23">
        <f>AVERAGE(J185:J187)^12/100^11-100</f>
        <v/>
      </c>
    </row>
    <row r="188">
      <c r="A188" s="18" t="n">
        <v>45809</v>
      </c>
      <c r="C188" s="31">
        <f>Прогноз!E44</f>
        <v/>
      </c>
      <c r="D188" s="21">
        <f>C188*D187/100</f>
        <v/>
      </c>
      <c r="E188" s="5">
        <f>Прогноз!F44</f>
        <v/>
      </c>
      <c r="F188" s="28" t="n">
        <v>313.684936229571</v>
      </c>
      <c r="G188" s="2">
        <f>F188/F187*100</f>
        <v/>
      </c>
      <c r="H188" s="23">
        <f>AVERAGE(G186:G188)^12/100^11-100</f>
        <v/>
      </c>
      <c r="I188" s="2">
        <f>AVERAGE(G177:G188)^12/100^11-100</f>
        <v/>
      </c>
      <c r="J188" s="1" t="n">
        <v>100.32</v>
      </c>
      <c r="K188" s="23">
        <f>AVERAGE(J186:J188)^12/100^11-100</f>
        <v/>
      </c>
    </row>
    <row r="189">
      <c r="A189" s="18" t="n">
        <v>45839</v>
      </c>
      <c r="C189" s="31">
        <f>Прогноз!E45</f>
        <v/>
      </c>
      <c r="D189" s="21">
        <f>C189*D188/100</f>
        <v/>
      </c>
      <c r="E189" s="5">
        <f>Прогноз!F45</f>
        <v/>
      </c>
      <c r="F189" s="28" t="n">
        <v>313.775956520238</v>
      </c>
      <c r="G189" s="2">
        <f>F189/F188*100</f>
        <v/>
      </c>
      <c r="H189" s="23">
        <f>AVERAGE(G187:G189)^12/100^11-100</f>
        <v/>
      </c>
      <c r="I189" s="2">
        <f>AVERAGE(G178:G189)^12/100^11-100</f>
        <v/>
      </c>
      <c r="J189" s="1" t="n">
        <v>101.01</v>
      </c>
      <c r="K189" s="23">
        <f>AVERAGE(J187:J189)^12/100^11-100</f>
        <v/>
      </c>
    </row>
    <row r="190">
      <c r="A190" s="18" t="n">
        <v>45870</v>
      </c>
      <c r="C190" s="31">
        <f>Прогноз!E46</f>
        <v/>
      </c>
      <c r="D190" s="21">
        <f>C190*D189/100</f>
        <v/>
      </c>
      <c r="E190" s="5">
        <f>Прогноз!F46</f>
        <v/>
      </c>
      <c r="F190" s="28" t="n">
        <v>316.544704023681</v>
      </c>
      <c r="G190" s="2">
        <f>F190/F189*100</f>
        <v/>
      </c>
      <c r="H190" s="23">
        <f>AVERAGE(G188:G190)^12/100^11-100</f>
        <v/>
      </c>
      <c r="I190" s="2">
        <f>AVERAGE(G179:G190)^12/100^11-100</f>
        <v/>
      </c>
      <c r="J190" s="1" t="n">
        <v>100.14</v>
      </c>
      <c r="K190" s="23">
        <f>AVERAGE(J188:J190)^12/100^11-100</f>
        <v/>
      </c>
    </row>
    <row r="191">
      <c r="A191" s="18" t="n">
        <v>45901</v>
      </c>
      <c r="C191" s="31">
        <f>Прогноз!E47</f>
        <v/>
      </c>
      <c r="D191" s="21">
        <f>C191*D190/100</f>
        <v/>
      </c>
      <c r="E191" s="5">
        <f>Прогноз!F47</f>
        <v/>
      </c>
      <c r="F191" s="28" t="n">
        <v>317.60462431833</v>
      </c>
      <c r="G191" s="2">
        <f>F191/F190*100</f>
        <v/>
      </c>
      <c r="H191" s="23">
        <f>AVERAGE(G189:G191)^12/100^11-100</f>
        <v/>
      </c>
      <c r="I191" s="2">
        <f>AVERAGE(G180:G191)^12/100^11-100</f>
        <v/>
      </c>
      <c r="J191" s="1" t="n">
        <v>101.27</v>
      </c>
      <c r="K191" s="23">
        <f>AVERAGE(J189:J191)^12/100^11-100</f>
        <v/>
      </c>
    </row>
    <row r="192">
      <c r="A192" s="18" t="n">
        <v>45931</v>
      </c>
      <c r="C192" s="31">
        <f>Прогноз!E48</f>
        <v/>
      </c>
      <c r="D192" s="21">
        <f>C192*D191/100</f>
        <v/>
      </c>
      <c r="E192" s="5">
        <f>Прогноз!F48</f>
        <v/>
      </c>
      <c r="F192" s="28" t="n">
        <v>317.842804909083</v>
      </c>
      <c r="G192" s="2">
        <f>F192/F191*100</f>
        <v/>
      </c>
      <c r="H192" s="23">
        <f>AVERAGE(G190:G192)^12/100^11-100</f>
        <v/>
      </c>
      <c r="I192" s="2">
        <f>AVERAGE(G181:G192)^12/100^11-100</f>
        <v/>
      </c>
      <c r="J192" s="1" t="n">
        <v>100.5</v>
      </c>
      <c r="K192" s="108">
        <f>AVERAGE(J190:J192)^12/100^11-100</f>
        <v/>
      </c>
    </row>
    <row r="193">
      <c r="A193" s="18" t="n">
        <v>45962</v>
      </c>
      <c r="C193" s="31">
        <f>Прогноз!E49</f>
        <v/>
      </c>
      <c r="D193" s="21">
        <f>C193*D192/100</f>
        <v/>
      </c>
      <c r="E193" s="5">
        <f>Прогноз!F49</f>
        <v/>
      </c>
      <c r="F193" s="28" t="n">
        <v>318.596955844387</v>
      </c>
      <c r="G193" s="2">
        <f>F193/F192*100</f>
        <v/>
      </c>
      <c r="H193" s="23">
        <f>AVERAGE(G191:G193)^12/100^11-100</f>
        <v/>
      </c>
      <c r="I193" s="2">
        <f>AVERAGE(G182:G193)^12/100^11-100</f>
        <v/>
      </c>
      <c r="J193" s="1" t="n">
        <v>99.94</v>
      </c>
      <c r="K193" s="23">
        <f>AVERAGE(J191:J193)^12/100^11-100</f>
        <v/>
      </c>
    </row>
    <row r="194">
      <c r="A194" s="18" t="n">
        <v>45992</v>
      </c>
      <c r="C194" s="31">
        <f>Прогноз!E50</f>
        <v/>
      </c>
      <c r="D194" s="21">
        <f>C194*D193/100</f>
        <v/>
      </c>
      <c r="E194" s="5">
        <f>Прогноз!F50</f>
        <v/>
      </c>
      <c r="F194" s="28" t="n">
        <v>322.200056538297</v>
      </c>
      <c r="G194" s="2">
        <f>F194/F193*100</f>
        <v/>
      </c>
      <c r="H194" s="23">
        <f>AVERAGE(G192:G194)^12/100^11-100</f>
        <v/>
      </c>
      <c r="I194" s="2">
        <f>AVERAGE(G183:G194)^12/100^11-100</f>
        <v/>
      </c>
      <c r="J194" s="1" t="n">
        <v>100.26</v>
      </c>
      <c r="K194" s="108">
        <f>AVERAGE(J192:J194)^12/100^11-100</f>
        <v/>
      </c>
    </row>
    <row r="195">
      <c r="A195" s="18" t="n">
        <v>46023</v>
      </c>
      <c r="C195" s="31">
        <f>Прогноз!E51</f>
        <v/>
      </c>
      <c r="D195" s="21">
        <f>C195*D194/100</f>
        <v/>
      </c>
      <c r="E195" s="5">
        <f>Прогноз!F51</f>
        <v/>
      </c>
      <c r="F195" s="43" t="n">
        <v>324.608292059824</v>
      </c>
      <c r="G195" s="2">
        <f>F195/F194*100</f>
        <v/>
      </c>
      <c r="H195" s="23">
        <f>AVERAGE(G193:G195)^12/100^11-100</f>
        <v/>
      </c>
      <c r="I195" s="2">
        <f>AVERAGE(G184:G195)^12/100^11-100</f>
        <v/>
      </c>
      <c r="J195" s="1" t="n">
        <v>100.98</v>
      </c>
      <c r="K195" s="23">
        <f>AVERAGE(J193:J195)^12/100^11-100</f>
        <v/>
      </c>
    </row>
    <row r="196">
      <c r="A196" s="18" t="n">
        <v>46054</v>
      </c>
      <c r="C196" s="31">
        <f>Прогноз!E52</f>
        <v/>
      </c>
      <c r="D196" s="21">
        <f>C196*D195/100</f>
        <v/>
      </c>
      <c r="E196" s="5">
        <f>Прогноз!F52</f>
        <v/>
      </c>
      <c r="F196" s="43" t="n">
        <v>325.831755565598</v>
      </c>
      <c r="G196" s="2">
        <f>F196/F195*100</f>
        <v/>
      </c>
      <c r="H196" s="23">
        <f>AVERAGE(G194:G196)^12/100^11-100</f>
        <v/>
      </c>
      <c r="I196" s="2">
        <f>AVERAGE(G185:G196)^12/100^11-100</f>
        <v/>
      </c>
      <c r="J196" s="1" t="n">
        <v>100.62</v>
      </c>
      <c r="K196" s="23">
        <f>AVERAGE(J194:J196)^12/100^11-100</f>
        <v/>
      </c>
    </row>
    <row r="197">
      <c r="A197" s="18" t="n">
        <v>46082</v>
      </c>
      <c r="C197" s="31">
        <f>Прогноз!E53</f>
        <v/>
      </c>
      <c r="D197" s="21">
        <f>C197*D196/100</f>
        <v/>
      </c>
      <c r="E197" s="5">
        <f>Прогноз!F53</f>
        <v/>
      </c>
      <c r="F197" s="43" t="n">
        <v>324.713944935011</v>
      </c>
      <c r="G197" s="2">
        <f>F197/F196*100</f>
        <v/>
      </c>
      <c r="H197" s="23">
        <f>AVERAGE(G195:G197)^12/100^11-100</f>
        <v/>
      </c>
      <c r="I197" s="2">
        <f>AVERAGE(G186:G197)^12/100^11-100</f>
        <v/>
      </c>
      <c r="J197" s="22">
        <f>G197</f>
        <v/>
      </c>
      <c r="K197" s="23">
        <f>AVERAGE(J195:J197)^12/100^11-100</f>
        <v/>
      </c>
    </row>
    <row r="198">
      <c r="A198" s="18" t="n">
        <v>46113</v>
      </c>
      <c r="C198" s="31">
        <f>Прогноз!E54</f>
        <v/>
      </c>
      <c r="D198" s="21">
        <f>C198*D197/100</f>
        <v/>
      </c>
      <c r="E198" s="5">
        <f>Прогноз!F54</f>
        <v/>
      </c>
      <c r="F198" s="43" t="n">
        <v>325.001429447453</v>
      </c>
      <c r="G198" s="2">
        <f>F198/F197*100</f>
        <v/>
      </c>
      <c r="H198" s="23">
        <f>AVERAGE(G196:G198)^12/100^11-100</f>
        <v/>
      </c>
      <c r="I198" s="2">
        <f>AVERAGE(G187:G198)^12/100^11-100</f>
        <v/>
      </c>
      <c r="J198" s="22">
        <f>G198</f>
        <v/>
      </c>
      <c r="K198" s="23">
        <f>AVERAGE(J196:J198)^12/100^11-100</f>
        <v/>
      </c>
    </row>
    <row r="199">
      <c r="A199" s="18" t="n">
        <v>46143</v>
      </c>
      <c r="C199" s="31">
        <f>Прогноз!E55</f>
        <v/>
      </c>
      <c r="D199" s="21">
        <f>C199*D198/100</f>
        <v/>
      </c>
      <c r="E199" s="5">
        <f>Прогноз!F55</f>
        <v/>
      </c>
      <c r="F199" s="43" t="n">
        <v>326.275186542192</v>
      </c>
      <c r="G199" s="2">
        <f>F199/F198*100</f>
        <v/>
      </c>
      <c r="H199" s="23">
        <f>AVERAGE(G197:G199)^12/100^11-100</f>
        <v/>
      </c>
      <c r="I199" s="2">
        <f>AVERAGE(G188:G199)^12/100^11-100</f>
        <v/>
      </c>
      <c r="J199" s="22">
        <f>G199</f>
        <v/>
      </c>
      <c r="K199" s="23">
        <f>AVERAGE(J197:J199)^12/100^11-100</f>
        <v/>
      </c>
    </row>
    <row r="200">
      <c r="A200" s="18" t="n">
        <v>46174</v>
      </c>
      <c r="C200" s="31">
        <f>Прогноз!E56</f>
        <v/>
      </c>
      <c r="D200" s="21">
        <f>C200*D199/100</f>
        <v/>
      </c>
      <c r="E200" s="5">
        <f>Прогноз!F56</f>
        <v/>
      </c>
      <c r="F200" s="43" t="n">
        <v>326.933677652924</v>
      </c>
      <c r="G200" s="2">
        <f>F200/F199*100</f>
        <v/>
      </c>
      <c r="H200" s="23">
        <f>AVERAGE(G198:G200)^12/100^11-100</f>
        <v/>
      </c>
      <c r="I200" s="2">
        <f>AVERAGE(G189:G200)^12/100^11-100</f>
        <v/>
      </c>
      <c r="J200" s="22">
        <f>G200</f>
        <v/>
      </c>
      <c r="K200" s="23">
        <f>AVERAGE(J198:J200)^12/100^11-100</f>
        <v/>
      </c>
    </row>
    <row r="201">
      <c r="A201" s="18" t="n">
        <v>46204</v>
      </c>
      <c r="C201" s="31">
        <f>Прогноз!E57</f>
        <v/>
      </c>
      <c r="D201" s="21">
        <f>C201*D200/100</f>
        <v/>
      </c>
      <c r="E201" s="5">
        <f>Прогноз!F57</f>
        <v/>
      </c>
      <c r="F201" s="43" t="n">
        <v>328.394228080781</v>
      </c>
      <c r="G201" s="2">
        <f>F201/F200*100</f>
        <v/>
      </c>
      <c r="H201" s="23">
        <f>AVERAGE(G199:G201)^12/100^11-100</f>
        <v/>
      </c>
      <c r="I201" s="2">
        <f>AVERAGE(G190:G201)^12/100^11-100</f>
        <v/>
      </c>
      <c r="J201" s="22">
        <f>G201</f>
        <v/>
      </c>
      <c r="K201" s="23">
        <f>AVERAGE(J199:J201)^12/100^11-100</f>
        <v/>
      </c>
    </row>
    <row r="202">
      <c r="A202" s="18" t="n">
        <v>46235</v>
      </c>
      <c r="C202" s="31">
        <f>Прогноз!E58</f>
        <v/>
      </c>
      <c r="D202" s="21">
        <f>C202*D201/100</f>
        <v/>
      </c>
      <c r="E202" s="5">
        <f>Прогноз!F58</f>
        <v/>
      </c>
      <c r="F202" s="43" t="n">
        <v>329.480823059084</v>
      </c>
      <c r="G202" s="2">
        <f>F202/F201*100</f>
        <v/>
      </c>
      <c r="H202" s="23">
        <f>AVERAGE(G200:G202)^12/100^11-100</f>
        <v/>
      </c>
      <c r="I202" s="2">
        <f>AVERAGE(G191:G202)^12/100^11-100</f>
        <v/>
      </c>
      <c r="J202" s="22">
        <f>G202</f>
        <v/>
      </c>
      <c r="K202" s="23">
        <f>AVERAGE(J200:J202)^12/100^11-100</f>
        <v/>
      </c>
    </row>
    <row r="203">
      <c r="A203" s="18" t="n">
        <v>46266</v>
      </c>
      <c r="C203" s="31">
        <f>Прогноз!E59</f>
        <v/>
      </c>
      <c r="D203" s="21">
        <f>C203*D202/100</f>
        <v/>
      </c>
      <c r="E203" s="5">
        <f>Прогноз!F59</f>
        <v/>
      </c>
      <c r="F203" s="43" t="n">
        <v>333.070688292444</v>
      </c>
      <c r="G203" s="2">
        <f>F203/F202*100</f>
        <v/>
      </c>
      <c r="H203" s="23">
        <f>AVERAGE(G201:G203)^12/100^11-100</f>
        <v/>
      </c>
      <c r="I203" s="2">
        <f>AVERAGE(G192:G203)^12/100^11-100</f>
        <v/>
      </c>
      <c r="J203" s="22">
        <f>G203</f>
        <v/>
      </c>
      <c r="K203" s="23">
        <f>AVERAGE(J201:J203)^12/100^11-100</f>
        <v/>
      </c>
    </row>
    <row r="204">
      <c r="A204" s="18" t="n">
        <v>46296</v>
      </c>
      <c r="C204" s="31">
        <f>Прогноз!E60</f>
        <v/>
      </c>
      <c r="D204" s="21">
        <f>C204*D203/100</f>
        <v/>
      </c>
      <c r="E204" s="5">
        <f>Прогноз!F60</f>
        <v/>
      </c>
      <c r="F204" s="43" t="n">
        <v>333.853941010906</v>
      </c>
      <c r="G204" s="2">
        <f>F204/F203*100</f>
        <v/>
      </c>
      <c r="H204" s="23">
        <f>AVERAGE(G202:G204)^12/100^11-100</f>
        <v/>
      </c>
      <c r="I204" s="2">
        <f>AVERAGE(G193:G204)^12/100^11-100</f>
        <v/>
      </c>
      <c r="J204" s="22">
        <f>G204</f>
        <v/>
      </c>
      <c r="K204" s="23">
        <f>AVERAGE(J202:J204)^12/100^11-100</f>
        <v/>
      </c>
    </row>
    <row r="205">
      <c r="A205" s="18" t="n">
        <v>46327</v>
      </c>
      <c r="C205" s="31">
        <f>Прогноз!E61</f>
        <v/>
      </c>
      <c r="D205" s="21">
        <f>C205*D204/100</f>
        <v/>
      </c>
      <c r="E205" s="5">
        <f>Прогноз!F61</f>
        <v/>
      </c>
      <c r="F205" s="43" t="n">
        <v>334.896307697015</v>
      </c>
      <c r="G205" s="2">
        <f>F205/F204*100</f>
        <v/>
      </c>
      <c r="H205" s="23">
        <f>AVERAGE(G203:G205)^12/100^11-100</f>
        <v/>
      </c>
      <c r="I205" s="2">
        <f>AVERAGE(G194:G205)^12/100^11-100</f>
        <v/>
      </c>
      <c r="J205" s="22">
        <f>G205</f>
        <v/>
      </c>
      <c r="K205" s="23">
        <f>AVERAGE(J203:J205)^12/100^11-100</f>
        <v/>
      </c>
    </row>
    <row r="206">
      <c r="A206" s="18" t="n">
        <v>46357</v>
      </c>
      <c r="C206" s="31">
        <f>Прогноз!E62</f>
        <v/>
      </c>
      <c r="D206" s="21">
        <f>C206*D205/100</f>
        <v/>
      </c>
      <c r="E206" s="5">
        <f>Прогноз!F62</f>
        <v/>
      </c>
      <c r="F206" s="43" t="n">
        <v>336.499047854978</v>
      </c>
      <c r="G206" s="2">
        <f>F206/F205*100</f>
        <v/>
      </c>
      <c r="H206" s="23">
        <f>AVERAGE(G204:G206)^12/100^11-100</f>
        <v/>
      </c>
      <c r="I206" s="2">
        <f>AVERAGE(G195:G206)^12/100^11-100</f>
        <v/>
      </c>
      <c r="J206" s="22">
        <f>G206</f>
        <v/>
      </c>
      <c r="K206" s="23">
        <f>AVERAGE(J204:J206)^12/100^11-100</f>
        <v/>
      </c>
    </row>
    <row r="207">
      <c r="A207" s="18" t="n">
        <v>46388</v>
      </c>
      <c r="C207" s="31">
        <f>Прогноз!E63</f>
        <v/>
      </c>
      <c r="D207" s="21">
        <f>C207*D206/100</f>
        <v/>
      </c>
      <c r="E207" s="5">
        <f>Прогноз!F63</f>
        <v/>
      </c>
      <c r="F207" s="43" t="n">
        <v>337.501233163054</v>
      </c>
      <c r="G207" s="2">
        <f>F207/F206*100</f>
        <v/>
      </c>
      <c r="H207" s="23">
        <f>AVERAGE(G205:G207)^12/100^11-100</f>
        <v/>
      </c>
      <c r="I207" s="2">
        <f>AVERAGE(G196:G207)^12/100^11-100</f>
        <v/>
      </c>
      <c r="J207" s="22">
        <f>G207</f>
        <v/>
      </c>
      <c r="K207" s="23">
        <f>AVERAGE(J205:J207)^12/100^11-100</f>
        <v/>
      </c>
    </row>
    <row r="208">
      <c r="A208" s="18" t="n">
        <v>46419</v>
      </c>
      <c r="C208" s="31">
        <f>Прогноз!E64</f>
        <v/>
      </c>
      <c r="D208" s="21">
        <f>C208*D207/100</f>
        <v/>
      </c>
      <c r="E208" s="5">
        <f>Прогноз!F64</f>
        <v/>
      </c>
      <c r="F208" s="43" t="n">
        <v>338.632991248897</v>
      </c>
      <c r="G208" s="2">
        <f>F208/F207*100</f>
        <v/>
      </c>
      <c r="H208" s="23">
        <f>AVERAGE(G206:G208)^12/100^11-100</f>
        <v/>
      </c>
      <c r="I208" s="2">
        <f>AVERAGE(G197:G208)^12/100^11-100</f>
        <v/>
      </c>
      <c r="J208" s="22">
        <f>G208</f>
        <v/>
      </c>
      <c r="K208" s="23">
        <f>AVERAGE(J206:J208)^12/100^11-100</f>
        <v/>
      </c>
    </row>
    <row r="209">
      <c r="A209" s="18" t="n">
        <v>46447</v>
      </c>
      <c r="C209" s="31">
        <f>Прогноз!E65</f>
        <v/>
      </c>
      <c r="D209" s="21">
        <f>C209*D208/100</f>
        <v/>
      </c>
      <c r="E209" s="5">
        <f>Прогноз!F65</f>
        <v/>
      </c>
      <c r="F209" s="43" t="n">
        <v>339.944119174233</v>
      </c>
      <c r="G209" s="2">
        <f>F209/F208*100</f>
        <v/>
      </c>
      <c r="H209" s="23">
        <f>AVERAGE(G207:G209)^12/100^11-100</f>
        <v/>
      </c>
      <c r="I209" s="2">
        <f>AVERAGE(G198:G209)^12/100^11-100</f>
        <v/>
      </c>
      <c r="J209" s="22">
        <f>G209</f>
        <v/>
      </c>
      <c r="K209" s="23">
        <f>AVERAGE(J207:J209)^12/100^11-100</f>
        <v/>
      </c>
    </row>
    <row r="210">
      <c r="A210" s="18" t="n">
        <v>46478</v>
      </c>
      <c r="C210" s="31">
        <f>Прогноз!E66</f>
        <v/>
      </c>
      <c r="D210" s="21">
        <f>C210*D209/100</f>
        <v/>
      </c>
      <c r="E210" s="5">
        <f>Прогноз!F66</f>
        <v/>
      </c>
      <c r="F210" s="43" t="n">
        <v>341.26140853276</v>
      </c>
      <c r="G210" s="2">
        <f>F210/F209*100</f>
        <v/>
      </c>
      <c r="H210" s="23">
        <f>AVERAGE(G208:G210)^12/100^11-100</f>
        <v/>
      </c>
      <c r="I210" s="2">
        <f>AVERAGE(G199:G210)^12/100^11-100</f>
        <v/>
      </c>
      <c r="J210" s="22">
        <f>G210</f>
        <v/>
      </c>
      <c r="K210" s="23">
        <f>AVERAGE(J208:J210)^12/100^11-100</f>
        <v/>
      </c>
    </row>
    <row r="211">
      <c r="A211" s="18" t="n">
        <v>46508</v>
      </c>
      <c r="C211" s="31">
        <f>Прогноз!E67</f>
        <v/>
      </c>
      <c r="D211" s="21">
        <f>C211*D210/100</f>
        <v/>
      </c>
      <c r="E211" s="5">
        <f>Прогноз!F67</f>
        <v/>
      </c>
      <c r="F211" s="43" t="n">
        <v>342.925410152259</v>
      </c>
      <c r="G211" s="2">
        <f>F211/F210*100</f>
        <v/>
      </c>
      <c r="H211" s="23">
        <f>AVERAGE(G209:G211)^12/100^11-100</f>
        <v/>
      </c>
      <c r="I211" s="2">
        <f>AVERAGE(G200:G211)^12/100^11-100</f>
        <v/>
      </c>
      <c r="J211" s="22">
        <f>G211</f>
        <v/>
      </c>
      <c r="K211" s="23">
        <f>AVERAGE(J209:J211)^12/100^11-100</f>
        <v/>
      </c>
    </row>
    <row r="212">
      <c r="A212" s="18" t="n">
        <v>46539</v>
      </c>
      <c r="C212" s="31">
        <f>Прогноз!E68</f>
        <v/>
      </c>
      <c r="D212" s="21">
        <f>C212*D211/100</f>
        <v/>
      </c>
      <c r="E212" s="5">
        <f>Прогноз!F68</f>
        <v/>
      </c>
      <c r="F212" s="43" t="n">
        <v>344.133144194206</v>
      </c>
      <c r="G212" s="2">
        <f>F212/F211*100</f>
        <v/>
      </c>
      <c r="H212" s="23">
        <f>AVERAGE(G210:G212)^12/100^11-100</f>
        <v/>
      </c>
      <c r="I212" s="2">
        <f>AVERAGE(G201:G212)^12/100^11-100</f>
        <v/>
      </c>
      <c r="J212" s="22">
        <f>G212</f>
        <v/>
      </c>
      <c r="K212" s="23">
        <f>AVERAGE(J210:J212)^12/100^11-100</f>
        <v/>
      </c>
    </row>
    <row r="213">
      <c r="A213" s="18" t="n">
        <v>46569</v>
      </c>
      <c r="C213" s="31">
        <f>Прогноз!E69</f>
        <v/>
      </c>
      <c r="D213" s="21">
        <f>C213*D212/100</f>
        <v/>
      </c>
      <c r="E213" s="5">
        <f>Прогноз!F69</f>
        <v/>
      </c>
      <c r="F213" s="43" t="n">
        <v>345.995487541435</v>
      </c>
      <c r="G213" s="2">
        <f>F213/F212*100</f>
        <v/>
      </c>
      <c r="H213" s="23">
        <f>AVERAGE(G211:G213)^12/100^11-100</f>
        <v/>
      </c>
      <c r="I213" s="2">
        <f>AVERAGE(G202:G213)^12/100^11-100</f>
        <v/>
      </c>
      <c r="J213" s="22">
        <f>G213</f>
        <v/>
      </c>
      <c r="K213" s="23">
        <f>AVERAGE(J211:J213)^12/100^11-100</f>
        <v/>
      </c>
    </row>
    <row r="214">
      <c r="A214" s="18" t="n">
        <v>46600</v>
      </c>
      <c r="C214" s="31">
        <f>Прогноз!E70</f>
        <v/>
      </c>
      <c r="D214" s="21">
        <f>C214*D213/100</f>
        <v/>
      </c>
      <c r="E214" s="5">
        <f>Прогноз!F70</f>
        <v/>
      </c>
      <c r="F214" s="43" t="n">
        <v>347.144245713653</v>
      </c>
      <c r="G214" s="2">
        <f>F214/F213*100</f>
        <v/>
      </c>
      <c r="H214" s="23">
        <f>AVERAGE(G212:G214)^12/100^11-100</f>
        <v/>
      </c>
      <c r="I214" s="2">
        <f>AVERAGE(G203:G214)^12/100^11-100</f>
        <v/>
      </c>
      <c r="J214" s="22">
        <f>G214</f>
        <v/>
      </c>
      <c r="K214" s="23">
        <f>AVERAGE(J212:J214)^12/100^11-100</f>
        <v/>
      </c>
    </row>
    <row r="215">
      <c r="A215" s="18" t="n">
        <v>46631</v>
      </c>
      <c r="C215" s="31">
        <f>Прогноз!E71</f>
        <v/>
      </c>
      <c r="D215" s="21">
        <f>C215*D214/100</f>
        <v/>
      </c>
      <c r="E215" s="5">
        <f>Прогноз!F71</f>
        <v/>
      </c>
      <c r="F215" s="43" t="n">
        <v>347.979510967459</v>
      </c>
      <c r="G215" s="2">
        <f>F215/F214*100</f>
        <v/>
      </c>
      <c r="H215" s="23">
        <f>AVERAGE(G213:G215)^12/100^11-100</f>
        <v/>
      </c>
      <c r="I215" s="2">
        <f>AVERAGE(G204:G215)^12/100^11-100</f>
        <v/>
      </c>
      <c r="J215" s="22">
        <f>G215</f>
        <v/>
      </c>
      <c r="K215" s="23">
        <f>AVERAGE(J213:J215)^12/100^11-100</f>
        <v/>
      </c>
    </row>
    <row r="216">
      <c r="A216" s="18" t="n">
        <v>46661</v>
      </c>
      <c r="C216" s="31">
        <f>Прогноз!E72</f>
        <v/>
      </c>
      <c r="D216" s="21">
        <f>C216*D215/100</f>
        <v/>
      </c>
      <c r="E216" s="5">
        <f>Прогноз!F72</f>
        <v/>
      </c>
      <c r="F216" s="43" t="n">
        <v>348.475167438042</v>
      </c>
      <c r="G216" s="2">
        <f>F216/F215*100</f>
        <v/>
      </c>
      <c r="H216" s="23">
        <f>AVERAGE(G214:G216)^12/100^11-100</f>
        <v/>
      </c>
      <c r="I216" s="2">
        <f>AVERAGE(G205:G216)^12/100^11-100</f>
        <v/>
      </c>
      <c r="J216" s="22">
        <f>G216</f>
        <v/>
      </c>
      <c r="K216" s="23">
        <f>AVERAGE(J214:J216)^12/100^11-100</f>
        <v/>
      </c>
    </row>
    <row r="217">
      <c r="A217" s="18" t="n">
        <v>46692</v>
      </c>
      <c r="C217" s="31">
        <f>Прогноз!E73</f>
        <v/>
      </c>
      <c r="D217" s="21">
        <f>C217*D216/100</f>
        <v/>
      </c>
      <c r="E217" s="5">
        <f>Прогноз!F73</f>
        <v/>
      </c>
      <c r="F217" s="43" t="n">
        <v>348.379244583884</v>
      </c>
      <c r="G217" s="2">
        <f>F217/F216*100</f>
        <v/>
      </c>
      <c r="H217" s="23">
        <f>AVERAGE(G215:G217)^12/100^11-100</f>
        <v/>
      </c>
      <c r="I217" s="2">
        <f>AVERAGE(G206:G217)^12/100^11-100</f>
        <v/>
      </c>
      <c r="J217" s="22">
        <f>G217</f>
        <v/>
      </c>
      <c r="K217" s="23">
        <f>AVERAGE(J215:J217)^12/100^11-100</f>
        <v/>
      </c>
    </row>
    <row r="218">
      <c r="A218" s="18" t="n">
        <v>46722</v>
      </c>
      <c r="C218" s="31">
        <f>Прогноз!E74</f>
        <v/>
      </c>
      <c r="D218" s="21">
        <f>C218*D217/100</f>
        <v/>
      </c>
      <c r="E218" s="5">
        <f>Прогноз!F74</f>
        <v/>
      </c>
      <c r="F218" s="43" t="n">
        <v>349.661044441597</v>
      </c>
      <c r="G218" s="2">
        <f>F218/F217*100</f>
        <v/>
      </c>
      <c r="H218" s="23">
        <f>AVERAGE(G216:G218)^12/100^11-100</f>
        <v/>
      </c>
      <c r="I218" s="2">
        <f>AVERAGE(G207:G218)^12/100^11-100</f>
        <v/>
      </c>
      <c r="J218" s="22">
        <f>G218</f>
        <v/>
      </c>
      <c r="K218" s="23">
        <f>AVERAGE(J216:J218)^12/100^11-100</f>
        <v/>
      </c>
    </row>
    <row r="219">
      <c r="C219" s="31" t="n"/>
    </row>
  </sheetData>
  <mergeCells count="5">
    <mergeCell ref="Q168:T168"/>
    <mergeCell ref="AC168:AF168"/>
    <mergeCell ref="AG168:AJ168"/>
    <mergeCell ref="U168:X168"/>
    <mergeCell ref="Y168:AB168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B27" sqref="B27"/>
    </sheetView>
  </sheetViews>
  <sheetFormatPr baseColWidth="8" defaultColWidth="9.09765625" defaultRowHeight="14.4"/>
  <cols>
    <col width="9.09765625" customWidth="1" style="11" min="1" max="1"/>
    <col width="97.09765625" customWidth="1" style="11" min="2" max="2"/>
    <col width="11.3984375" customWidth="1" style="12" min="3" max="4"/>
    <col width="10.09765625" bestFit="1" customWidth="1" style="12" min="5" max="5"/>
    <col width="10.09765625" customWidth="1" style="12" min="6" max="8"/>
    <col width="10.09765625" bestFit="1" customWidth="1" style="12" min="9" max="9"/>
    <col width="9.09765625" customWidth="1" style="12" min="10" max="10"/>
    <col width="10.09765625" bestFit="1" customWidth="1" style="12" min="11" max="11"/>
    <col width="9.09765625" customWidth="1" style="12" min="12" max="12"/>
    <col width="9.09765625" customWidth="1" style="11" min="13" max="1638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C33" s="13" t="n"/>
    </row>
    <row r="34">
      <c r="C34" s="13" t="n"/>
    </row>
    <row r="35">
      <c r="C35" s="13" t="n"/>
    </row>
    <row r="36">
      <c r="C36" s="13" t="n"/>
    </row>
    <row r="37">
      <c r="C37" s="13" t="n"/>
    </row>
    <row r="38">
      <c r="C38" s="13" t="n"/>
    </row>
    <row r="39">
      <c r="C39" s="13" t="n"/>
    </row>
    <row r="40">
      <c r="C40" s="1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Лист2">
    <outlinePr summaryBelow="1" summaryRight="1"/>
    <pageSetUpPr/>
  </sheetPr>
  <dimension ref="A1:B3"/>
  <sheetViews>
    <sheetView workbookViewId="0">
      <selection activeCell="A4" sqref="A4"/>
    </sheetView>
  </sheetViews>
  <sheetFormatPr baseColWidth="8" defaultRowHeight="14.4"/>
  <cols>
    <col width="15.8984375" bestFit="1" customWidth="1" min="1" max="1"/>
    <col width="17.3984375" bestFit="1" customWidth="1" min="2" max="2"/>
  </cols>
  <sheetData>
    <row r="1">
      <c r="A1" t="inlineStr">
        <is>
          <t>Дата</t>
        </is>
      </c>
    </row>
    <row r="2">
      <c r="A2" t="inlineStr">
        <is>
          <t>MoM</t>
        </is>
      </c>
      <c r="B2" t="inlineStr">
        <is>
          <t>Прогнозный МоМ</t>
        </is>
      </c>
    </row>
    <row r="3">
      <c r="A3" t="inlineStr">
        <is>
          <t>Прогнозный YoY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Лист3">
    <outlinePr summaryBelow="1" summaryRight="1"/>
    <pageSetUpPr/>
  </sheetPr>
  <dimension ref="A1:A2"/>
  <sheetViews>
    <sheetView topLeftCell="A19" workbookViewId="0">
      <selection activeCell="B29" sqref="B29"/>
    </sheetView>
  </sheetViews>
  <sheetFormatPr baseColWidth="8" defaultRowHeight="14.4"/>
  <cols>
    <col width="53.8984375" bestFit="1" customWidth="1" min="1" max="1"/>
  </cols>
  <sheetData>
    <row r="1">
      <c r="A1" t="inlineStr">
        <is>
          <t>Значение</t>
        </is>
      </c>
    </row>
    <row r="2">
      <c r="A2">
        <f t="array" ref="A2">MID(CELL("filename",A1),1,SEARCH("[",CELL("filename",A1))-1)&amp;"IPC.xlsx"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9"/>
  <sheetViews>
    <sheetView zoomScale="130" zoomScaleNormal="130" workbookViewId="0">
      <selection activeCell="Q207" sqref="Q3:Q207"/>
    </sheetView>
  </sheetViews>
  <sheetFormatPr baseColWidth="8" defaultRowHeight="14.4"/>
  <cols>
    <col width="11.296875" customWidth="1" min="1" max="1"/>
    <col width="6.69921875" bestFit="1" customWidth="1" min="2" max="2"/>
    <col width="8.09765625" bestFit="1" customWidth="1" min="3" max="3"/>
    <col width="10.8984375" bestFit="1" customWidth="1" min="9" max="9"/>
    <col width="6.69921875" bestFit="1" customWidth="1" min="10" max="10"/>
    <col width="8.09765625" bestFit="1" customWidth="1" min="11" max="11"/>
    <col width="10.8984375" bestFit="1" customWidth="1" min="16" max="16"/>
    <col width="11.3984375" customWidth="1" min="19" max="19"/>
  </cols>
  <sheetData>
    <row r="1">
      <c r="A1" t="inlineStr">
        <is>
          <t>Day</t>
        </is>
      </c>
      <c r="B1" t="inlineStr">
        <is>
          <t>YoY</t>
        </is>
      </c>
      <c r="C1" t="inlineStr">
        <is>
          <t>MoM</t>
        </is>
      </c>
      <c r="I1" t="inlineStr">
        <is>
          <t>Day</t>
        </is>
      </c>
      <c r="J1" t="inlineStr">
        <is>
          <t>YoY</t>
        </is>
      </c>
      <c r="K1" t="inlineStr">
        <is>
          <t>MoM</t>
        </is>
      </c>
      <c r="L1" t="inlineStr">
        <is>
          <t>Столбец1</t>
        </is>
      </c>
      <c r="P1" t="inlineStr">
        <is>
          <t>dnd</t>
        </is>
      </c>
    </row>
    <row r="2">
      <c r="A2" s="18" t="n">
        <v>40269</v>
      </c>
      <c r="B2" t="n">
        <v>8.039999999999999</v>
      </c>
      <c r="C2" t="n">
        <v>0.59</v>
      </c>
      <c r="I2" s="18" t="n">
        <v>40179</v>
      </c>
      <c r="J2" t="n">
        <v>8.84</v>
      </c>
      <c r="K2" t="n">
        <v>1.49</v>
      </c>
      <c r="Q2" t="inlineStr">
        <is>
          <t>Seasonally adjusted</t>
        </is>
      </c>
    </row>
    <row r="3">
      <c r="A3" s="18" t="n">
        <v>40634</v>
      </c>
      <c r="B3" t="n">
        <v>12.45</v>
      </c>
      <c r="C3" t="n">
        <v>0.6</v>
      </c>
      <c r="I3" s="18" t="n">
        <v>40210</v>
      </c>
      <c r="J3" t="n">
        <v>9.210000000000001</v>
      </c>
      <c r="K3" t="n">
        <v>1.2</v>
      </c>
      <c r="P3" s="18" t="n">
        <v>40148</v>
      </c>
      <c r="Q3" t="n">
        <v>100.243347082</v>
      </c>
    </row>
    <row r="4">
      <c r="A4" s="18" t="n">
        <v>41000</v>
      </c>
      <c r="B4" t="n">
        <v>3.89</v>
      </c>
      <c r="C4" t="n">
        <v>0.42</v>
      </c>
      <c r="I4" s="18" t="n">
        <v>40238</v>
      </c>
      <c r="J4" t="n">
        <v>8.98</v>
      </c>
      <c r="K4" t="n">
        <v>0.92</v>
      </c>
      <c r="P4" s="18" t="n">
        <v>40179</v>
      </c>
      <c r="Q4" t="n">
        <v>101.407499171</v>
      </c>
    </row>
    <row r="5">
      <c r="A5" s="18" t="n">
        <v>41365</v>
      </c>
      <c r="B5" t="n">
        <v>9.34</v>
      </c>
      <c r="C5" t="n">
        <v>1.25</v>
      </c>
      <c r="I5" s="18" t="n">
        <v>40269</v>
      </c>
      <c r="J5" t="n">
        <v>8.039999999999999</v>
      </c>
      <c r="K5" t="n">
        <v>0.59</v>
      </c>
      <c r="P5" s="18" t="n">
        <v>40210</v>
      </c>
      <c r="Q5" t="n">
        <v>102.39393709</v>
      </c>
    </row>
    <row r="6">
      <c r="A6" s="18" t="n">
        <v>41730</v>
      </c>
      <c r="B6" t="n">
        <v>6.82</v>
      </c>
      <c r="C6" t="n">
        <v>0.63</v>
      </c>
      <c r="I6" s="18" t="n">
        <v>40299</v>
      </c>
      <c r="J6" t="n">
        <v>8.109999999999999</v>
      </c>
      <c r="K6" t="n">
        <v>0.64</v>
      </c>
      <c r="P6" s="18" t="n">
        <v>40238</v>
      </c>
      <c r="Q6" t="n">
        <v>103.156057706</v>
      </c>
    </row>
    <row r="7">
      <c r="A7" s="18" t="n">
        <v>42095</v>
      </c>
      <c r="B7" t="n">
        <v>17.22</v>
      </c>
      <c r="C7" t="n">
        <v>1.24</v>
      </c>
      <c r="I7" s="18" t="n">
        <v>40330</v>
      </c>
      <c r="J7" t="n">
        <v>7.36</v>
      </c>
      <c r="K7" t="n">
        <v>0.73</v>
      </c>
      <c r="P7" s="18" t="n">
        <v>40269</v>
      </c>
      <c r="Q7" t="n">
        <v>103.552630859</v>
      </c>
    </row>
    <row r="8">
      <c r="A8" s="18" t="n">
        <v>42461</v>
      </c>
      <c r="B8" t="n">
        <v>7.08</v>
      </c>
      <c r="C8" t="n">
        <v>1.09</v>
      </c>
      <c r="I8" s="18" t="n">
        <v>40360</v>
      </c>
      <c r="J8" t="n">
        <v>6.82</v>
      </c>
      <c r="K8" t="n">
        <v>-0.49</v>
      </c>
      <c r="P8" s="18" t="n">
        <v>40299</v>
      </c>
      <c r="Q8" t="n">
        <v>104.217082317</v>
      </c>
    </row>
    <row r="9">
      <c r="A9" s="18" t="n">
        <v>42826</v>
      </c>
      <c r="B9" t="n">
        <v>5.11</v>
      </c>
      <c r="C9" t="n">
        <v>0.77</v>
      </c>
      <c r="I9" s="18" t="n">
        <v>40391</v>
      </c>
      <c r="J9" t="n">
        <v>6.83</v>
      </c>
      <c r="K9" t="n">
        <v>0.48</v>
      </c>
      <c r="P9" s="18" t="n">
        <v>40330</v>
      </c>
      <c r="Q9" t="n">
        <v>105.406983096</v>
      </c>
    </row>
    <row r="10">
      <c r="A10" s="18" t="n">
        <v>43191</v>
      </c>
      <c r="B10" t="n">
        <v>1.58</v>
      </c>
      <c r="C10" t="n">
        <v>0.5</v>
      </c>
      <c r="I10" s="18" t="n">
        <v>40422</v>
      </c>
      <c r="J10" t="n">
        <v>9.119999999999999</v>
      </c>
      <c r="K10" t="n">
        <v>2.29</v>
      </c>
      <c r="P10" s="18" t="n">
        <v>40360</v>
      </c>
      <c r="Q10" t="n">
        <v>105.230830199</v>
      </c>
    </row>
    <row r="11">
      <c r="A11" s="18" t="n">
        <v>43556</v>
      </c>
      <c r="B11" t="n">
        <v>5.65</v>
      </c>
      <c r="C11" t="n">
        <v>0.59</v>
      </c>
      <c r="I11" s="18" t="n">
        <v>40452</v>
      </c>
      <c r="J11" t="n">
        <v>9.470000000000001</v>
      </c>
      <c r="K11" t="n">
        <v>0.5</v>
      </c>
      <c r="P11" s="18" t="n">
        <v>40391</v>
      </c>
      <c r="Q11" t="n">
        <v>106.321491671</v>
      </c>
    </row>
    <row r="12">
      <c r="A12" s="18" t="n">
        <v>43922</v>
      </c>
      <c r="B12" t="n">
        <v>3.57</v>
      </c>
      <c r="C12" t="n">
        <v>1.3</v>
      </c>
      <c r="I12" s="18" t="n">
        <v>40483</v>
      </c>
      <c r="J12" t="n">
        <v>9.960000000000001</v>
      </c>
      <c r="K12" t="n">
        <v>0.92</v>
      </c>
      <c r="P12" s="18" t="n">
        <v>40422</v>
      </c>
      <c r="Q12" t="n">
        <v>108.735191675</v>
      </c>
    </row>
    <row r="13">
      <c r="A13" s="18" t="n">
        <v>44287</v>
      </c>
      <c r="B13" t="n">
        <v>6.37</v>
      </c>
      <c r="C13" t="n">
        <v>0.86</v>
      </c>
      <c r="I13" s="18" t="n">
        <v>40513</v>
      </c>
      <c r="J13" t="n">
        <v>11.36</v>
      </c>
      <c r="K13" t="n">
        <v>1.57</v>
      </c>
      <c r="P13" s="18" t="n">
        <v>40452</v>
      </c>
      <c r="Q13" t="n">
        <v>109.258817658</v>
      </c>
    </row>
    <row r="14">
      <c r="A14" s="18" t="n">
        <v>44652</v>
      </c>
      <c r="B14" t="n">
        <v>16</v>
      </c>
      <c r="C14" t="n">
        <v>3.28</v>
      </c>
      <c r="I14" s="18" t="n">
        <v>40544</v>
      </c>
      <c r="J14" t="n">
        <v>12.36</v>
      </c>
      <c r="K14" t="n">
        <v>2.4</v>
      </c>
      <c r="P14" s="18" t="n">
        <v>40483</v>
      </c>
      <c r="Q14" t="n">
        <v>110.183488831</v>
      </c>
    </row>
    <row r="15">
      <c r="A15" s="18" t="n">
        <v>45017</v>
      </c>
      <c r="B15" t="n">
        <v>3.51</v>
      </c>
      <c r="C15" t="n">
        <v>0.72</v>
      </c>
      <c r="I15" s="18" t="n">
        <v>40575</v>
      </c>
      <c r="J15" t="n">
        <v>12.21</v>
      </c>
      <c r="K15" t="n">
        <v>1.06</v>
      </c>
      <c r="P15" s="18" t="n">
        <v>40513</v>
      </c>
      <c r="Q15" t="n">
        <v>111.635983909</v>
      </c>
    </row>
    <row r="16">
      <c r="A16" s="18" t="n">
        <v>45383</v>
      </c>
      <c r="B16" t="n">
        <v>6.32</v>
      </c>
      <c r="C16" t="n">
        <v>0.38</v>
      </c>
      <c r="E16" t="inlineStr">
        <is>
          <t>Средн</t>
        </is>
      </c>
      <c r="I16" s="18" t="n">
        <v>40603</v>
      </c>
      <c r="J16" t="n">
        <v>12.43</v>
      </c>
      <c r="K16" t="n">
        <v>1.12</v>
      </c>
      <c r="P16" s="18" t="n">
        <v>40544</v>
      </c>
      <c r="Q16" t="n">
        <v>113.94880958</v>
      </c>
    </row>
    <row r="17">
      <c r="E17" s="3">
        <f>AVERAGE(Таблица1[MoM])</f>
        <v/>
      </c>
      <c r="F17">
        <f>AVERAGEIF(Таблица1[MoM],"&lt;2",Таблица1[MoM])</f>
        <v/>
      </c>
      <c r="I17" s="18" t="n">
        <v>40634</v>
      </c>
      <c r="J17" t="n">
        <v>12.45</v>
      </c>
      <c r="K17" t="n">
        <v>0.6</v>
      </c>
      <c r="P17" s="18" t="n">
        <v>40575</v>
      </c>
      <c r="Q17" t="n">
        <v>114.899095918</v>
      </c>
    </row>
    <row r="18">
      <c r="I18" s="18" t="n">
        <v>40664</v>
      </c>
      <c r="J18" t="n">
        <v>12.08</v>
      </c>
      <c r="K18" t="n">
        <v>0.31</v>
      </c>
      <c r="P18" s="18" t="n">
        <v>40603</v>
      </c>
      <c r="Q18" t="n">
        <v>115.983618584</v>
      </c>
    </row>
    <row r="19">
      <c r="I19" s="18" t="n">
        <v>40695</v>
      </c>
      <c r="J19" t="n">
        <v>10.59</v>
      </c>
      <c r="K19" t="n">
        <v>-0.61</v>
      </c>
      <c r="P19" s="18" t="n">
        <v>40634</v>
      </c>
      <c r="Q19" t="n">
        <v>116.437871021</v>
      </c>
    </row>
    <row r="20">
      <c r="I20" s="18" t="n">
        <v>40725</v>
      </c>
      <c r="J20" t="n">
        <v>11.1</v>
      </c>
      <c r="K20" t="n">
        <v>-0.04</v>
      </c>
      <c r="P20" s="18" t="n">
        <v>40664</v>
      </c>
      <c r="Q20" t="n">
        <v>116.799263045</v>
      </c>
    </row>
    <row r="21">
      <c r="I21" s="18" t="n">
        <v>40756</v>
      </c>
      <c r="J21" t="n">
        <v>10.37</v>
      </c>
      <c r="K21" t="n">
        <v>-0.18</v>
      </c>
      <c r="P21" s="18" t="n">
        <v>40695</v>
      </c>
      <c r="Q21" t="n">
        <v>116.561543074</v>
      </c>
    </row>
    <row r="22">
      <c r="I22" s="18" t="n">
        <v>40787</v>
      </c>
      <c r="J22" t="n">
        <v>8.74</v>
      </c>
      <c r="K22" t="n">
        <v>0.78</v>
      </c>
      <c r="P22" s="18" t="n">
        <v>40725</v>
      </c>
      <c r="Q22" t="n">
        <v>116.886226908</v>
      </c>
    </row>
    <row r="23">
      <c r="I23" s="18" t="n">
        <v>40817</v>
      </c>
      <c r="J23" t="n">
        <v>8.56</v>
      </c>
      <c r="K23" t="n">
        <v>0.33</v>
      </c>
      <c r="P23" s="18" t="n">
        <v>40756</v>
      </c>
      <c r="Q23" t="n">
        <v>117.32210258</v>
      </c>
    </row>
    <row r="24">
      <c r="I24" s="18" t="n">
        <v>40848</v>
      </c>
      <c r="J24" t="n">
        <v>8.07</v>
      </c>
      <c r="K24" t="n">
        <v>0.46</v>
      </c>
      <c r="P24" s="18" t="n">
        <v>40787</v>
      </c>
      <c r="Q24" t="n">
        <v>118.22217565</v>
      </c>
    </row>
    <row r="25">
      <c r="I25" s="18" t="n">
        <v>40878</v>
      </c>
      <c r="J25" t="n">
        <v>6.74</v>
      </c>
      <c r="K25" t="n">
        <v>0.32</v>
      </c>
      <c r="P25" s="18" t="n">
        <v>40817</v>
      </c>
      <c r="Q25" t="n">
        <v>118.58726639</v>
      </c>
    </row>
    <row r="26">
      <c r="I26" s="18" t="n">
        <v>40909</v>
      </c>
      <c r="J26" t="n">
        <v>4.58</v>
      </c>
      <c r="K26" t="n">
        <v>0.33</v>
      </c>
      <c r="P26" s="18" t="n">
        <v>40848</v>
      </c>
      <c r="Q26" t="n">
        <v>119.044445222</v>
      </c>
    </row>
    <row r="27">
      <c r="I27" s="18" t="n">
        <v>40940</v>
      </c>
      <c r="J27" t="n">
        <v>4.53</v>
      </c>
      <c r="K27" t="n">
        <v>1.02</v>
      </c>
      <c r="P27" s="18" t="n">
        <v>40878</v>
      </c>
      <c r="Q27" t="n">
        <v>119.131947515</v>
      </c>
    </row>
    <row r="28">
      <c r="I28" s="18" t="n">
        <v>40969</v>
      </c>
      <c r="J28" t="n">
        <v>4.08</v>
      </c>
      <c r="K28" t="n">
        <v>0.68</v>
      </c>
      <c r="P28" s="18" t="n">
        <v>40909</v>
      </c>
      <c r="Q28" t="n">
        <v>119.151981575</v>
      </c>
    </row>
    <row r="29">
      <c r="I29" s="18" t="n">
        <v>41000</v>
      </c>
      <c r="J29" t="n">
        <v>3.89</v>
      </c>
      <c r="K29" t="n">
        <v>0.42</v>
      </c>
      <c r="P29" s="18" t="n">
        <v>40940</v>
      </c>
      <c r="Q29" t="n">
        <v>120.100583717</v>
      </c>
    </row>
    <row r="30">
      <c r="I30" s="18" t="n">
        <v>41030</v>
      </c>
      <c r="J30" t="n">
        <v>4.93</v>
      </c>
      <c r="K30" t="n">
        <v>1.32</v>
      </c>
      <c r="P30" s="18" t="n">
        <v>40969</v>
      </c>
      <c r="Q30" t="n">
        <v>120.707360733</v>
      </c>
    </row>
    <row r="31">
      <c r="I31" s="18" t="n">
        <v>41061</v>
      </c>
      <c r="J31" t="n">
        <v>6.15</v>
      </c>
      <c r="K31" t="n">
        <v>0.55</v>
      </c>
      <c r="P31" s="18" t="n">
        <v>41000</v>
      </c>
      <c r="Q31" t="n">
        <v>120.957664947</v>
      </c>
    </row>
    <row r="32">
      <c r="I32" s="18" t="n">
        <v>41091</v>
      </c>
      <c r="J32" t="n">
        <v>7.9</v>
      </c>
      <c r="K32" t="n">
        <v>1.61</v>
      </c>
      <c r="P32" s="18" t="n">
        <v>41030</v>
      </c>
      <c r="Q32" t="n">
        <v>122.551685694</v>
      </c>
    </row>
    <row r="33">
      <c r="I33" s="18" t="n">
        <v>41122</v>
      </c>
      <c r="J33" t="n">
        <v>8.18</v>
      </c>
      <c r="K33" t="n">
        <v>0.08</v>
      </c>
      <c r="P33" s="18" t="n">
        <v>41061</v>
      </c>
      <c r="Q33" t="n">
        <v>123.726150011</v>
      </c>
    </row>
    <row r="34">
      <c r="I34" s="18" t="n">
        <v>41153</v>
      </c>
      <c r="J34" t="n">
        <v>7.79</v>
      </c>
      <c r="K34" t="n">
        <v>0.42</v>
      </c>
      <c r="P34" s="18" t="n">
        <v>41091</v>
      </c>
      <c r="Q34" t="n">
        <v>126.109907955</v>
      </c>
    </row>
    <row r="35">
      <c r="I35" s="18" t="n">
        <v>41183</v>
      </c>
      <c r="J35" t="n">
        <v>7.93</v>
      </c>
      <c r="K35" t="n">
        <v>0.46</v>
      </c>
      <c r="P35" s="18" t="n">
        <v>41122</v>
      </c>
      <c r="Q35" t="n">
        <v>126.90934691</v>
      </c>
    </row>
    <row r="36">
      <c r="I36" s="18" t="n">
        <v>41214</v>
      </c>
      <c r="J36" t="n">
        <v>8.18</v>
      </c>
      <c r="K36" t="n">
        <v>0.7</v>
      </c>
      <c r="L36" s="3">
        <f>AVERAGE(K33:K35)</f>
        <v/>
      </c>
      <c r="P36" s="18" t="n">
        <v>41153</v>
      </c>
      <c r="Q36" t="n">
        <v>127.437573364</v>
      </c>
    </row>
    <row r="37">
      <c r="I37" s="18" t="n">
        <v>41244</v>
      </c>
      <c r="J37" t="n">
        <v>8.75</v>
      </c>
      <c r="K37" t="n">
        <v>0.84</v>
      </c>
      <c r="L37" s="3">
        <f>AVERAGE(K34:K36)</f>
        <v/>
      </c>
      <c r="P37" s="18" t="n">
        <v>41183</v>
      </c>
      <c r="Q37" t="n">
        <v>127.991593842</v>
      </c>
    </row>
    <row r="38">
      <c r="I38" s="18" t="n">
        <v>41275</v>
      </c>
      <c r="J38" t="n">
        <v>9.19</v>
      </c>
      <c r="K38" t="n">
        <v>0.74</v>
      </c>
      <c r="L38" s="3">
        <f>AVERAGE(K35:K37)</f>
        <v/>
      </c>
      <c r="P38" s="18" t="n">
        <v>41214</v>
      </c>
      <c r="Q38" t="n">
        <v>128.790034953</v>
      </c>
    </row>
    <row r="39">
      <c r="I39" s="18" t="n">
        <v>41306</v>
      </c>
      <c r="J39" t="n">
        <v>8.640000000000001</v>
      </c>
      <c r="K39" t="n">
        <v>0.51</v>
      </c>
      <c r="L39" s="3">
        <f>AVERAGE(K36:K38)</f>
        <v/>
      </c>
      <c r="P39" s="18" t="n">
        <v>41244</v>
      </c>
      <c r="Q39" t="n">
        <v>129.553196119</v>
      </c>
    </row>
    <row r="40">
      <c r="I40" s="18" t="n">
        <v>41334</v>
      </c>
      <c r="J40" t="n">
        <v>8.449999999999999</v>
      </c>
      <c r="K40" t="n">
        <v>0.5</v>
      </c>
      <c r="L40" s="3">
        <f>AVERAGE(K37:K39)</f>
        <v/>
      </c>
      <c r="P40" s="18" t="n">
        <v>41275</v>
      </c>
      <c r="Q40" t="n">
        <v>130.114029382</v>
      </c>
    </row>
    <row r="41">
      <c r="I41" s="18" t="n">
        <v>41365</v>
      </c>
      <c r="J41" t="n">
        <v>9.34</v>
      </c>
      <c r="K41" t="n">
        <v>1.25</v>
      </c>
      <c r="L41" s="3">
        <f>AVERAGE(K38:K40)</f>
        <v/>
      </c>
      <c r="P41" s="18" t="n">
        <v>41306</v>
      </c>
      <c r="Q41" t="n">
        <v>130.491220417</v>
      </c>
    </row>
    <row r="42">
      <c r="I42" s="18" t="n">
        <v>41395</v>
      </c>
      <c r="J42" t="n">
        <v>9.470000000000001</v>
      </c>
      <c r="K42" t="n">
        <v>1.44</v>
      </c>
      <c r="L42" s="3">
        <f>AVERAGE(K39:K41)</f>
        <v/>
      </c>
      <c r="P42" s="18" t="n">
        <v>41334</v>
      </c>
      <c r="Q42" t="n">
        <v>130.916445769</v>
      </c>
    </row>
    <row r="43">
      <c r="I43" s="18" t="n">
        <v>41426</v>
      </c>
      <c r="J43" t="n">
        <v>8.970000000000001</v>
      </c>
      <c r="K43" t="n">
        <v>0.09</v>
      </c>
      <c r="L43" s="3">
        <f>AVERAGE(K40:K42)</f>
        <v/>
      </c>
      <c r="P43" s="18" t="n">
        <v>41365</v>
      </c>
      <c r="Q43" t="n">
        <v>132.264160581</v>
      </c>
    </row>
    <row r="44">
      <c r="I44" s="18" t="n">
        <v>41456</v>
      </c>
      <c r="J44" t="n">
        <v>7.87</v>
      </c>
      <c r="K44" t="n">
        <v>0.58</v>
      </c>
      <c r="L44" s="3">
        <f>AVERAGE(K41:K43)</f>
        <v/>
      </c>
      <c r="P44" s="18" t="n">
        <v>41395</v>
      </c>
      <c r="Q44" t="n">
        <v>134.166969813</v>
      </c>
    </row>
    <row r="45">
      <c r="I45" s="18" t="n">
        <v>41487</v>
      </c>
      <c r="J45" t="n">
        <v>7.38</v>
      </c>
      <c r="K45" t="n">
        <v>-0.38</v>
      </c>
      <c r="L45" s="3">
        <f>AVERAGE(K42:K44)</f>
        <v/>
      </c>
      <c r="P45" s="18" t="n">
        <v>41426</v>
      </c>
      <c r="Q45" t="n">
        <v>134.830805296</v>
      </c>
    </row>
    <row r="46">
      <c r="I46" s="18" t="n">
        <v>41518</v>
      </c>
      <c r="J46" t="n">
        <v>7.11</v>
      </c>
      <c r="K46" t="n">
        <v>0.17</v>
      </c>
      <c r="L46" s="3">
        <f>AVERAGE(K43:K45)</f>
        <v/>
      </c>
      <c r="P46" s="18" t="n">
        <v>41456</v>
      </c>
      <c r="Q46" t="n">
        <v>136.033381592</v>
      </c>
    </row>
    <row r="47">
      <c r="I47" s="18" t="n">
        <v>41548</v>
      </c>
      <c r="J47" t="n">
        <v>7.71</v>
      </c>
      <c r="K47" t="n">
        <v>1.03</v>
      </c>
      <c r="L47" s="3">
        <f>AVERAGE(K44:K46)</f>
        <v/>
      </c>
      <c r="P47" s="18" t="n">
        <v>41487</v>
      </c>
      <c r="Q47" t="n">
        <v>136.265402393</v>
      </c>
    </row>
    <row r="48">
      <c r="I48" s="18" t="n">
        <v>41579</v>
      </c>
      <c r="J48" t="n">
        <v>7.64</v>
      </c>
      <c r="K48" t="n">
        <v>0.63</v>
      </c>
      <c r="L48" s="3">
        <f>AVERAGE(K45:K47)</f>
        <v/>
      </c>
      <c r="P48" s="18" t="n">
        <v>41518</v>
      </c>
      <c r="Q48" t="n">
        <v>136.50199075</v>
      </c>
    </row>
    <row r="49">
      <c r="I49" s="18" t="n">
        <v>41609</v>
      </c>
      <c r="J49" t="n">
        <v>7.49</v>
      </c>
      <c r="K49" t="n">
        <v>0.7</v>
      </c>
      <c r="L49" s="3">
        <f>AVERAGE(K46:K48)</f>
        <v/>
      </c>
      <c r="P49" s="18" t="n">
        <v>41548</v>
      </c>
      <c r="Q49" t="n">
        <v>137.866268958</v>
      </c>
    </row>
    <row r="50">
      <c r="I50" s="18" t="n">
        <v>41640</v>
      </c>
      <c r="J50" t="n">
        <v>6.87</v>
      </c>
      <c r="K50" t="n">
        <v>0.16</v>
      </c>
      <c r="L50" s="3">
        <f>AVERAGE(K47:K49)</f>
        <v/>
      </c>
      <c r="P50" s="18" t="n">
        <v>41579</v>
      </c>
      <c r="Q50" t="n">
        <v>138.626960885</v>
      </c>
    </row>
    <row r="51">
      <c r="I51" s="18" t="n">
        <v>41671</v>
      </c>
      <c r="J51" t="n">
        <v>6.99</v>
      </c>
      <c r="K51" t="n">
        <v>0.62</v>
      </c>
      <c r="L51" s="3">
        <f>AVERAGE(K48:K50)</f>
        <v/>
      </c>
      <c r="P51" s="18" t="n">
        <v>41609</v>
      </c>
      <c r="Q51" t="n">
        <v>139.254289967</v>
      </c>
    </row>
    <row r="52">
      <c r="I52" s="18" t="n">
        <v>41699</v>
      </c>
      <c r="J52" t="n">
        <v>7.48</v>
      </c>
      <c r="K52" t="n">
        <v>0.96</v>
      </c>
      <c r="L52" s="3">
        <f>AVERAGE(K49:K51)</f>
        <v/>
      </c>
      <c r="P52" s="18" t="n">
        <v>41640</v>
      </c>
      <c r="Q52" t="n">
        <v>139.058976196</v>
      </c>
    </row>
    <row r="53">
      <c r="I53" s="18" t="n">
        <v>41730</v>
      </c>
      <c r="J53" t="n">
        <v>6.82</v>
      </c>
      <c r="K53" t="n">
        <v>0.63</v>
      </c>
      <c r="L53" s="3">
        <f>AVERAGE(K50:K52)</f>
        <v/>
      </c>
      <c r="P53" s="18" t="n">
        <v>41671</v>
      </c>
      <c r="Q53" t="n">
        <v>139.616120646</v>
      </c>
    </row>
    <row r="54">
      <c r="I54" s="18" t="n">
        <v>41760</v>
      </c>
      <c r="J54" t="n">
        <v>6</v>
      </c>
      <c r="K54" t="n">
        <v>0.65</v>
      </c>
      <c r="L54" s="3">
        <f>AVERAGE(K51:K53)</f>
        <v/>
      </c>
      <c r="P54" s="18" t="n">
        <v>41699</v>
      </c>
      <c r="Q54" t="n">
        <v>140.710952201</v>
      </c>
    </row>
    <row r="55">
      <c r="I55" s="18" t="n">
        <v>41791</v>
      </c>
      <c r="J55" t="n">
        <v>5.92</v>
      </c>
      <c r="K55" t="n">
        <v>0.01</v>
      </c>
      <c r="L55" s="3">
        <f>AVERAGE(K52:K54)</f>
        <v/>
      </c>
      <c r="P55" s="18" t="n">
        <v>41730</v>
      </c>
      <c r="Q55" t="n">
        <v>141.282098234</v>
      </c>
    </row>
    <row r="56">
      <c r="I56" s="18" t="n">
        <v>41821</v>
      </c>
      <c r="J56" t="n">
        <v>5.28</v>
      </c>
      <c r="K56" t="n">
        <v>-0.02</v>
      </c>
      <c r="L56" s="3">
        <f>AVERAGE(K53:K55)</f>
        <v/>
      </c>
      <c r="P56" s="18" t="n">
        <v>41760</v>
      </c>
      <c r="Q56" t="n">
        <v>142.205956204</v>
      </c>
    </row>
    <row r="57">
      <c r="I57" s="18" t="n">
        <v>41852</v>
      </c>
      <c r="J57" t="n">
        <v>6.13</v>
      </c>
      <c r="K57" t="n">
        <v>0.42</v>
      </c>
      <c r="L57" s="3">
        <f>AVERAGE(K54:K56)</f>
        <v/>
      </c>
      <c r="P57" s="18" t="n">
        <v>41791</v>
      </c>
      <c r="Q57" t="n">
        <v>142.792694908</v>
      </c>
    </row>
    <row r="58">
      <c r="I58" s="18" t="n">
        <v>41883</v>
      </c>
      <c r="J58" t="n">
        <v>7.23</v>
      </c>
      <c r="K58" t="n">
        <v>1.22</v>
      </c>
      <c r="L58" s="3">
        <f>AVERAGE(K55:K57)</f>
        <v/>
      </c>
      <c r="P58" s="18" t="n">
        <v>41821</v>
      </c>
      <c r="Q58" t="n">
        <v>143.207508736</v>
      </c>
    </row>
    <row r="59">
      <c r="I59" s="18" t="n">
        <v>41913</v>
      </c>
      <c r="J59" t="n">
        <v>6.78</v>
      </c>
      <c r="K59" t="n">
        <v>0.6</v>
      </c>
      <c r="L59" s="3">
        <f>AVERAGE(K56:K58)</f>
        <v/>
      </c>
      <c r="P59" s="18" t="n">
        <v>41852</v>
      </c>
      <c r="Q59" t="n">
        <v>144.600199487</v>
      </c>
    </row>
    <row r="60">
      <c r="I60" s="18" t="n">
        <v>41944</v>
      </c>
      <c r="J60" t="n">
        <v>7.15</v>
      </c>
      <c r="K60" t="n">
        <v>0.98</v>
      </c>
      <c r="L60" s="3">
        <f>AVERAGE(K57:K59)</f>
        <v/>
      </c>
      <c r="P60" s="18" t="n">
        <v>41883</v>
      </c>
      <c r="Q60" t="n">
        <v>146.378754891</v>
      </c>
    </row>
    <row r="61">
      <c r="I61" s="18" t="n">
        <v>41974</v>
      </c>
      <c r="J61" t="n">
        <v>8.460000000000001</v>
      </c>
      <c r="K61" t="n">
        <v>1.94</v>
      </c>
      <c r="L61" s="31">
        <f>AVERAGE(K58:K60)</f>
        <v/>
      </c>
      <c r="P61" s="18" t="n">
        <v>41913</v>
      </c>
      <c r="Q61" t="n">
        <v>147.207251513</v>
      </c>
    </row>
    <row r="62">
      <c r="I62" s="18" t="n">
        <v>42005</v>
      </c>
      <c r="J62" t="n">
        <v>12.74</v>
      </c>
      <c r="K62" t="n">
        <v>4.11</v>
      </c>
      <c r="L62" s="31">
        <f>AVERAGE(K59:K61)</f>
        <v/>
      </c>
      <c r="P62" s="18" t="n">
        <v>41944</v>
      </c>
      <c r="Q62" t="n">
        <v>148.531907079</v>
      </c>
    </row>
    <row r="63">
      <c r="I63" s="18" t="n">
        <v>42036</v>
      </c>
      <c r="J63" t="n">
        <v>15.41</v>
      </c>
      <c r="K63" t="n">
        <v>3.01</v>
      </c>
      <c r="L63" s="31">
        <f>AVERAGE(K60:K62)</f>
        <v/>
      </c>
      <c r="P63" s="18" t="n">
        <v>41974</v>
      </c>
      <c r="Q63" t="n">
        <v>151.040978838</v>
      </c>
    </row>
    <row r="64">
      <c r="I64" s="18" t="n">
        <v>42064</v>
      </c>
      <c r="J64" t="n">
        <v>16.51</v>
      </c>
      <c r="K64" t="n">
        <v>1.92</v>
      </c>
      <c r="L64" s="31">
        <f>AVERAGE(K61:K63)</f>
        <v/>
      </c>
      <c r="P64" s="18" t="n">
        <v>42005</v>
      </c>
      <c r="Q64" t="n">
        <v>156.780560973</v>
      </c>
    </row>
    <row r="65">
      <c r="I65" s="18" t="n">
        <v>42095</v>
      </c>
      <c r="J65" t="n">
        <v>17.22</v>
      </c>
      <c r="K65" t="n">
        <v>1.24</v>
      </c>
      <c r="L65" s="31">
        <f>AVERAGE(K62:K64)</f>
        <v/>
      </c>
      <c r="P65" s="18" t="n">
        <v>42036</v>
      </c>
      <c r="Q65" t="n">
        <v>161.147616666</v>
      </c>
    </row>
    <row r="66">
      <c r="I66" s="18" t="n">
        <v>42125</v>
      </c>
      <c r="J66" t="n">
        <v>16.89</v>
      </c>
      <c r="K66" t="n">
        <v>0.37</v>
      </c>
      <c r="L66" s="31">
        <f>AVERAGE(K63:K65)</f>
        <v/>
      </c>
      <c r="P66" s="18" t="n">
        <v>42064</v>
      </c>
      <c r="Q66" t="n">
        <v>163.956364847</v>
      </c>
    </row>
    <row r="67">
      <c r="I67" s="18" t="n">
        <v>42156</v>
      </c>
      <c r="J67" t="n">
        <v>16.55</v>
      </c>
      <c r="K67" t="n">
        <v>-0.28</v>
      </c>
      <c r="L67" s="31">
        <f>AVERAGE(K64:K66)</f>
        <v/>
      </c>
      <c r="P67" s="18" t="n">
        <v>42095</v>
      </c>
      <c r="Q67" t="n">
        <v>165.611045636</v>
      </c>
    </row>
    <row r="68">
      <c r="I68" s="18" t="n">
        <v>42186</v>
      </c>
      <c r="J68" t="n">
        <v>16.96</v>
      </c>
      <c r="K68" t="n">
        <v>0.33</v>
      </c>
      <c r="L68" s="31">
        <f>AVERAGE(K65:K67)</f>
        <v/>
      </c>
      <c r="P68" s="18" t="n">
        <v>42125</v>
      </c>
      <c r="Q68" t="n">
        <v>166.239548636</v>
      </c>
    </row>
    <row r="69">
      <c r="I69" s="18" t="n">
        <v>42217</v>
      </c>
      <c r="J69" t="n">
        <v>16.99</v>
      </c>
      <c r="K69" t="n">
        <v>0.44</v>
      </c>
      <c r="L69" s="31">
        <f>AVERAGE(K66:K68)</f>
        <v/>
      </c>
      <c r="P69" s="18" t="n">
        <v>42156</v>
      </c>
      <c r="Q69" t="n">
        <v>166.434812079</v>
      </c>
    </row>
    <row r="70">
      <c r="I70" s="18" t="n">
        <v>42248</v>
      </c>
      <c r="J70" t="n">
        <v>16.74</v>
      </c>
      <c r="K70" t="n">
        <v>1</v>
      </c>
      <c r="L70" s="31">
        <f>AVERAGE(K67:K69)</f>
        <v/>
      </c>
      <c r="P70" s="18" t="n">
        <v>42186</v>
      </c>
      <c r="Q70" t="n">
        <v>167.500825857</v>
      </c>
    </row>
    <row r="71">
      <c r="I71" s="18" t="n">
        <v>42278</v>
      </c>
      <c r="J71" t="n">
        <v>17.57</v>
      </c>
      <c r="K71" t="n">
        <v>1.31</v>
      </c>
      <c r="L71" s="31">
        <f>AVERAGE(K68:K70)</f>
        <v/>
      </c>
      <c r="P71" s="18" t="n">
        <v>42217</v>
      </c>
      <c r="Q71" t="n">
        <v>169.160534661</v>
      </c>
    </row>
    <row r="72">
      <c r="I72" s="18" t="n">
        <v>42309</v>
      </c>
      <c r="J72" t="n">
        <v>16.81</v>
      </c>
      <c r="K72" t="n">
        <v>0.32</v>
      </c>
      <c r="L72" s="31">
        <f>AVERAGE(K69:K71)</f>
        <v/>
      </c>
      <c r="P72" s="18" t="n">
        <v>42248</v>
      </c>
      <c r="Q72" t="n">
        <v>170.882112028</v>
      </c>
    </row>
    <row r="73">
      <c r="I73" s="18" t="n">
        <v>42339</v>
      </c>
      <c r="J73" t="n">
        <v>15.3</v>
      </c>
      <c r="K73" t="n">
        <v>0.62</v>
      </c>
      <c r="L73" s="31">
        <f>AVERAGE(K70:K72)</f>
        <v/>
      </c>
      <c r="P73" s="18" t="n">
        <v>42278</v>
      </c>
      <c r="Q73" t="n">
        <v>173.055747995</v>
      </c>
    </row>
    <row r="74">
      <c r="I74" s="18" t="n">
        <v>42370</v>
      </c>
      <c r="J74" t="n">
        <v>11.62</v>
      </c>
      <c r="K74" t="n">
        <v>0.79</v>
      </c>
      <c r="L74" s="31">
        <f>AVERAGE(K71:K73)</f>
        <v/>
      </c>
      <c r="P74" s="18" t="n">
        <v>42309</v>
      </c>
      <c r="Q74" t="n">
        <v>173.46819951</v>
      </c>
    </row>
    <row r="75">
      <c r="I75" s="18" t="n">
        <v>42401</v>
      </c>
      <c r="J75" t="n">
        <v>9.029999999999999</v>
      </c>
      <c r="K75" t="n">
        <v>0.62</v>
      </c>
      <c r="L75" s="31">
        <f>AVERAGE(K72:K74)</f>
        <v/>
      </c>
      <c r="P75" s="18" t="n">
        <v>42339</v>
      </c>
      <c r="Q75" t="n">
        <v>174.119567114</v>
      </c>
    </row>
    <row r="76">
      <c r="I76" s="18" t="n">
        <v>42430</v>
      </c>
      <c r="J76" t="n">
        <v>7.24</v>
      </c>
      <c r="K76" t="n">
        <v>0.25</v>
      </c>
      <c r="L76" s="31">
        <f>AVERAGE(K73:K75)</f>
        <v/>
      </c>
      <c r="P76" s="18" t="n">
        <v>42370</v>
      </c>
      <c r="Q76" t="n">
        <v>174.975479389</v>
      </c>
    </row>
    <row r="77">
      <c r="I77" s="18" t="n">
        <v>42461</v>
      </c>
      <c r="J77" t="n">
        <v>7.08</v>
      </c>
      <c r="K77" t="n">
        <v>1.09</v>
      </c>
      <c r="L77" s="31">
        <f>AVERAGE(K74:K76)</f>
        <v/>
      </c>
      <c r="P77" s="18" t="n">
        <v>42401</v>
      </c>
      <c r="Q77" t="n">
        <v>175.676996901</v>
      </c>
    </row>
    <row r="78">
      <c r="I78" s="18" t="n">
        <v>42491</v>
      </c>
      <c r="J78" t="n">
        <v>6.91</v>
      </c>
      <c r="K78" t="n">
        <v>0.21</v>
      </c>
      <c r="L78" s="31">
        <f>AVERAGE(K75:K77)</f>
        <v/>
      </c>
      <c r="P78" s="18" t="n">
        <v>42430</v>
      </c>
      <c r="Q78" t="n">
        <v>175.816679643</v>
      </c>
    </row>
    <row r="79">
      <c r="I79" s="18" t="n">
        <v>42522</v>
      </c>
      <c r="J79" t="n">
        <v>7.47</v>
      </c>
      <c r="K79" t="n">
        <v>0.24</v>
      </c>
      <c r="L79" s="31">
        <f>AVERAGE(K76:K78)</f>
        <v/>
      </c>
      <c r="P79" s="18" t="n">
        <v>42461</v>
      </c>
      <c r="Q79" t="n">
        <v>177.320070782</v>
      </c>
    </row>
    <row r="80">
      <c r="I80" s="18" t="n">
        <v>42552</v>
      </c>
      <c r="J80" t="n">
        <v>7.77</v>
      </c>
      <c r="K80" t="n">
        <v>0.61</v>
      </c>
      <c r="L80" s="31">
        <f>AVERAGE(K77:K79)</f>
        <v/>
      </c>
      <c r="P80" s="18" t="n">
        <v>42491</v>
      </c>
      <c r="Q80" t="n">
        <v>177.714318289</v>
      </c>
    </row>
    <row r="81">
      <c r="I81" s="18" t="n">
        <v>42583</v>
      </c>
      <c r="J81" t="n">
        <v>7.39</v>
      </c>
      <c r="K81" t="n">
        <v>0.09</v>
      </c>
      <c r="L81" s="31">
        <f>AVERAGE(K78:K80)</f>
        <v/>
      </c>
      <c r="P81" s="18" t="n">
        <v>42522</v>
      </c>
      <c r="Q81" t="n">
        <v>178.837674965</v>
      </c>
    </row>
    <row r="82">
      <c r="I82" s="18" t="n">
        <v>42614</v>
      </c>
      <c r="J82" t="n">
        <v>6.18</v>
      </c>
      <c r="K82" t="n">
        <v>-0.13</v>
      </c>
      <c r="L82" s="31">
        <f>AVERAGE(K79:K81)</f>
        <v/>
      </c>
      <c r="P82" s="18" t="n">
        <v>42552</v>
      </c>
      <c r="Q82" t="n">
        <v>180.481688118</v>
      </c>
    </row>
    <row r="83">
      <c r="I83" s="18" t="n">
        <v>42644</v>
      </c>
      <c r="J83" t="n">
        <v>5.43</v>
      </c>
      <c r="K83" t="n">
        <v>0.6</v>
      </c>
      <c r="L83" s="31">
        <f>AVERAGE(K80:K82)</f>
        <v/>
      </c>
      <c r="P83" s="18" t="n">
        <v>42583</v>
      </c>
      <c r="Q83" t="n">
        <v>181.634164049</v>
      </c>
    </row>
    <row r="84">
      <c r="I84" s="18" t="n">
        <v>42675</v>
      </c>
      <c r="J84" t="n">
        <v>5.39</v>
      </c>
      <c r="K84" t="n">
        <v>0.29</v>
      </c>
      <c r="L84" s="31">
        <f>AVERAGE(K81:K83)</f>
        <v/>
      </c>
      <c r="P84" s="18" t="n">
        <v>42614</v>
      </c>
      <c r="Q84" t="n">
        <v>181.446357649</v>
      </c>
    </row>
    <row r="85">
      <c r="I85" s="18" t="n">
        <v>42705</v>
      </c>
      <c r="J85" t="n">
        <v>6.13</v>
      </c>
      <c r="K85" t="n">
        <v>1.33</v>
      </c>
      <c r="L85" s="31">
        <f>AVERAGE(K82:K84)</f>
        <v/>
      </c>
      <c r="P85" s="18" t="n">
        <v>42644</v>
      </c>
      <c r="Q85" t="n">
        <v>182.464255273</v>
      </c>
    </row>
    <row r="86">
      <c r="I86" s="18" t="n">
        <v>42736</v>
      </c>
      <c r="J86" t="n">
        <v>5.79</v>
      </c>
      <c r="K86" t="n">
        <v>0.47</v>
      </c>
      <c r="L86" s="31">
        <f>AVERAGE(K83:K85)</f>
        <v/>
      </c>
      <c r="P86" s="18" t="n">
        <v>42675</v>
      </c>
      <c r="Q86" t="n">
        <v>182.836955394</v>
      </c>
    </row>
    <row r="87">
      <c r="I87" s="18" t="n">
        <v>42767</v>
      </c>
      <c r="J87" t="n">
        <v>5.49</v>
      </c>
      <c r="K87" t="n">
        <v>0.33</v>
      </c>
      <c r="L87" s="31">
        <f>AVERAGE(K84:K86)</f>
        <v/>
      </c>
      <c r="P87" s="18" t="n">
        <v>42705</v>
      </c>
      <c r="Q87" t="n">
        <v>184.824363175</v>
      </c>
    </row>
    <row r="88">
      <c r="I88" s="18" t="n">
        <v>42795</v>
      </c>
      <c r="J88" t="n">
        <v>5.44</v>
      </c>
      <c r="K88" t="n">
        <v>0.2</v>
      </c>
      <c r="L88" s="31">
        <f>AVERAGE(K85:K87)</f>
        <v/>
      </c>
      <c r="P88" s="18" t="n">
        <v>42736</v>
      </c>
      <c r="Q88" t="n">
        <v>185.144803593</v>
      </c>
    </row>
    <row r="89">
      <c r="I89" s="18" t="n">
        <v>42826</v>
      </c>
      <c r="J89" t="n">
        <v>5.11</v>
      </c>
      <c r="K89" t="n">
        <v>0.77</v>
      </c>
      <c r="L89" s="31">
        <f>AVERAGE(K86:K88)</f>
        <v/>
      </c>
      <c r="P89" s="18" t="n">
        <v>42767</v>
      </c>
      <c r="Q89" t="n">
        <v>185.349952189</v>
      </c>
    </row>
    <row r="90">
      <c r="I90" s="18" t="n">
        <v>42856</v>
      </c>
      <c r="J90" t="n">
        <v>5.37</v>
      </c>
      <c r="K90" t="n">
        <v>0.46</v>
      </c>
      <c r="L90" s="31">
        <f>AVERAGE(K87:K89)</f>
        <v/>
      </c>
      <c r="P90" s="18" t="n">
        <v>42795</v>
      </c>
      <c r="Q90" t="n">
        <v>185.409188189</v>
      </c>
    </row>
    <row r="91">
      <c r="I91" s="18" t="n">
        <v>42887</v>
      </c>
      <c r="J91" t="n">
        <v>5.72</v>
      </c>
      <c r="K91" t="n">
        <v>0.58</v>
      </c>
      <c r="L91" s="31">
        <f>AVERAGE(K88:K90)</f>
        <v/>
      </c>
      <c r="P91" s="18" t="n">
        <v>42826</v>
      </c>
      <c r="Q91" t="n">
        <v>186.397048982</v>
      </c>
    </row>
    <row r="92">
      <c r="I92" s="18" t="n">
        <v>42917</v>
      </c>
      <c r="J92" t="n">
        <v>4.58</v>
      </c>
      <c r="K92" t="n">
        <v>-0.48</v>
      </c>
      <c r="L92" s="31">
        <f>AVERAGE(K89:K91)</f>
        <v/>
      </c>
      <c r="P92" s="18" t="n">
        <v>42856</v>
      </c>
      <c r="Q92" t="n">
        <v>187.280553896</v>
      </c>
    </row>
    <row r="93">
      <c r="I93" s="18" t="n">
        <v>42948</v>
      </c>
      <c r="J93" t="n">
        <v>3.96</v>
      </c>
      <c r="K93" t="n">
        <v>-0.51</v>
      </c>
      <c r="L93" s="31">
        <f>AVERAGE(K90:K92)</f>
        <v/>
      </c>
      <c r="P93" s="18" t="n">
        <v>42887</v>
      </c>
      <c r="Q93" t="n">
        <v>189.0912964</v>
      </c>
    </row>
    <row r="94">
      <c r="I94" s="18" t="n">
        <v>42979</v>
      </c>
      <c r="J94" t="n">
        <v>3.95</v>
      </c>
      <c r="K94" t="n">
        <v>-0.14</v>
      </c>
      <c r="L94" s="31">
        <f>AVERAGE(K91:K93)</f>
        <v/>
      </c>
      <c r="P94" s="18" t="n">
        <v>42917</v>
      </c>
      <c r="Q94" t="n">
        <v>188.76124529</v>
      </c>
    </row>
    <row r="95">
      <c r="I95" s="18" t="n">
        <v>43009</v>
      </c>
      <c r="J95" t="n">
        <v>3.5</v>
      </c>
      <c r="K95" t="n">
        <v>0.16</v>
      </c>
      <c r="L95" s="31">
        <f>AVERAGE(K92:K94)</f>
        <v/>
      </c>
      <c r="P95" s="18" t="n">
        <v>42948</v>
      </c>
      <c r="Q95" t="n">
        <v>188.828778782</v>
      </c>
    </row>
    <row r="96">
      <c r="I96" s="18" t="n">
        <v>43040</v>
      </c>
      <c r="J96" t="n">
        <v>3.38</v>
      </c>
      <c r="K96" t="n">
        <v>0.18</v>
      </c>
      <c r="L96" s="31">
        <f>AVERAGE(K93:K95)</f>
        <v/>
      </c>
      <c r="P96" s="18" t="n">
        <v>42979</v>
      </c>
      <c r="Q96" t="n">
        <v>188.627390095</v>
      </c>
    </row>
    <row r="97">
      <c r="I97" s="18" t="n">
        <v>43070</v>
      </c>
      <c r="J97" t="n">
        <v>2.48</v>
      </c>
      <c r="K97" t="n">
        <v>0.44</v>
      </c>
      <c r="L97" s="31">
        <f>AVERAGE(K94:K96)</f>
        <v/>
      </c>
      <c r="P97" s="18" t="n">
        <v>43009</v>
      </c>
      <c r="Q97" t="n">
        <v>188.854890502</v>
      </c>
    </row>
    <row r="98">
      <c r="I98" s="18" t="n">
        <v>43101</v>
      </c>
      <c r="J98" t="n">
        <v>1.97</v>
      </c>
      <c r="K98" t="n">
        <v>-0.03</v>
      </c>
      <c r="L98" s="31">
        <f>AVERAGE(K95:K97)</f>
        <v/>
      </c>
      <c r="P98" s="18" t="n">
        <v>43040</v>
      </c>
      <c r="Q98" t="n">
        <v>189.023561525</v>
      </c>
    </row>
    <row r="99">
      <c r="I99" s="18" t="n">
        <v>43132</v>
      </c>
      <c r="J99" t="n">
        <v>1.98</v>
      </c>
      <c r="K99" t="n">
        <v>0.34</v>
      </c>
      <c r="L99" s="31">
        <f>AVERAGE(K96:K98)</f>
        <v/>
      </c>
      <c r="P99" s="18" t="n">
        <v>43070</v>
      </c>
      <c r="Q99" t="n">
        <v>189.41126489</v>
      </c>
    </row>
    <row r="100">
      <c r="I100" s="18" t="n">
        <v>43160</v>
      </c>
      <c r="J100" t="n">
        <v>1.86</v>
      </c>
      <c r="K100" t="n">
        <v>0.08</v>
      </c>
      <c r="L100" s="31">
        <f>AVERAGE(K97:K99)</f>
        <v/>
      </c>
      <c r="P100" s="18" t="n">
        <v>43101</v>
      </c>
      <c r="Q100" t="n">
        <v>188.795017763</v>
      </c>
    </row>
    <row r="101">
      <c r="I101" s="18" t="n">
        <v>43191</v>
      </c>
      <c r="J101" t="n">
        <v>1.58</v>
      </c>
      <c r="K101" t="n">
        <v>0.5</v>
      </c>
      <c r="L101" s="31">
        <f>AVERAGE(K98:K100)</f>
        <v/>
      </c>
      <c r="P101" s="18" t="n">
        <v>43132</v>
      </c>
      <c r="Q101" t="n">
        <v>189.019403631</v>
      </c>
    </row>
    <row r="102">
      <c r="I102" s="18" t="n">
        <v>43221</v>
      </c>
      <c r="J102" t="n">
        <v>1.21</v>
      </c>
      <c r="K102" t="n">
        <v>0.09</v>
      </c>
      <c r="L102" s="31">
        <f>AVERAGE(K99:K101)</f>
        <v/>
      </c>
      <c r="P102" s="18" t="n">
        <v>43160</v>
      </c>
      <c r="Q102" t="n">
        <v>188.85418611</v>
      </c>
    </row>
    <row r="103">
      <c r="I103" s="18" t="n">
        <v>43252</v>
      </c>
      <c r="J103" t="n">
        <v>1.27</v>
      </c>
      <c r="K103" t="n">
        <v>0.64</v>
      </c>
      <c r="L103" s="31">
        <f>AVERAGE(K100:K102)</f>
        <v/>
      </c>
      <c r="P103" s="18" t="n">
        <v>43191</v>
      </c>
      <c r="Q103" t="n">
        <v>189.349017291</v>
      </c>
    </row>
    <row r="104">
      <c r="I104" s="18" t="n">
        <v>43282</v>
      </c>
      <c r="J104" t="n">
        <v>1.88</v>
      </c>
      <c r="K104" t="n">
        <v>0.12</v>
      </c>
      <c r="L104" s="31">
        <f>AVERAGE(K101:K103)</f>
        <v/>
      </c>
      <c r="P104" s="18" t="n">
        <v>43221</v>
      </c>
      <c r="Q104" t="n">
        <v>189.550352608</v>
      </c>
    </row>
    <row r="105">
      <c r="I105" s="18" t="n">
        <v>43313</v>
      </c>
      <c r="J105" t="n">
        <v>2.35</v>
      </c>
      <c r="K105" t="n">
        <v>-0.05</v>
      </c>
      <c r="L105" s="31">
        <f>AVERAGE(K102:K104)</f>
        <v/>
      </c>
      <c r="P105" s="18" t="n">
        <v>43252</v>
      </c>
      <c r="Q105" t="n">
        <v>191.492165172</v>
      </c>
    </row>
    <row r="106">
      <c r="I106" s="18" t="n">
        <v>43344</v>
      </c>
      <c r="J106" t="n">
        <v>2.18</v>
      </c>
      <c r="K106" t="n">
        <v>-0.3</v>
      </c>
      <c r="L106" s="31">
        <f>AVERAGE(K103:K105)</f>
        <v/>
      </c>
      <c r="P106" s="18" t="n">
        <v>43282</v>
      </c>
      <c r="Q106" t="n">
        <v>192.307394599</v>
      </c>
    </row>
    <row r="107">
      <c r="I107" s="18" t="n">
        <v>43374</v>
      </c>
      <c r="J107" t="n">
        <v>2.11</v>
      </c>
      <c r="K107" t="n">
        <v>0.09</v>
      </c>
      <c r="L107" s="31">
        <f>AVERAGE(K104:K106)</f>
        <v/>
      </c>
      <c r="P107" s="18" t="n">
        <v>43313</v>
      </c>
      <c r="Q107" t="n">
        <v>193.265868339</v>
      </c>
    </row>
    <row r="108">
      <c r="I108" s="18" t="n">
        <v>43405</v>
      </c>
      <c r="J108" t="n">
        <v>2.81</v>
      </c>
      <c r="K108" t="n">
        <v>0.87</v>
      </c>
      <c r="L108" s="31">
        <f>AVERAGE(K105:K107)</f>
        <v/>
      </c>
      <c r="P108" s="18" t="n">
        <v>43344</v>
      </c>
      <c r="Q108" t="n">
        <v>192.759306581</v>
      </c>
    </row>
    <row r="109">
      <c r="I109" s="18" t="n">
        <v>43435</v>
      </c>
      <c r="J109" t="n">
        <v>3.47</v>
      </c>
      <c r="K109" t="n">
        <v>1.08</v>
      </c>
      <c r="L109" s="31">
        <f>AVERAGE(K106:K108)</f>
        <v/>
      </c>
      <c r="P109" s="18" t="n">
        <v>43374</v>
      </c>
      <c r="Q109" t="n">
        <v>192.855731224</v>
      </c>
    </row>
    <row r="110">
      <c r="I110" s="18" t="n">
        <v>43466</v>
      </c>
      <c r="J110" t="n">
        <v>4.68</v>
      </c>
      <c r="K110" t="n">
        <v>1.14</v>
      </c>
      <c r="L110" s="31">
        <f>AVERAGE(K107:K109)</f>
        <v/>
      </c>
      <c r="P110" s="18" t="n">
        <v>43405</v>
      </c>
      <c r="Q110" t="n">
        <v>194.347411352</v>
      </c>
    </row>
    <row r="111">
      <c r="I111" s="18" t="n">
        <v>43497</v>
      </c>
      <c r="J111" t="n">
        <v>5.07</v>
      </c>
      <c r="K111" t="n">
        <v>0.71</v>
      </c>
      <c r="L111" s="31">
        <f>AVERAGE(K108:K110)</f>
        <v/>
      </c>
      <c r="P111" s="18" t="n">
        <v>43435</v>
      </c>
      <c r="Q111" t="n">
        <v>196.000732292</v>
      </c>
    </row>
    <row r="112">
      <c r="I112" s="18" t="n">
        <v>43525</v>
      </c>
      <c r="J112" t="n">
        <v>5.56</v>
      </c>
      <c r="K112" t="n">
        <v>0.55</v>
      </c>
      <c r="L112" s="31">
        <f>AVERAGE(K109:K111)</f>
        <v/>
      </c>
      <c r="P112" s="18" t="n">
        <v>43466</v>
      </c>
      <c r="Q112" t="n">
        <v>197.645338743</v>
      </c>
    </row>
    <row r="113">
      <c r="I113" s="18" t="n">
        <v>43556</v>
      </c>
      <c r="J113" t="n">
        <v>5.65</v>
      </c>
      <c r="K113" t="n">
        <v>0.59</v>
      </c>
      <c r="L113" s="31">
        <f>AVERAGE(K110:K112)</f>
        <v/>
      </c>
      <c r="P113" s="18" t="n">
        <v>43497</v>
      </c>
      <c r="Q113" t="n">
        <v>198.604961564</v>
      </c>
    </row>
    <row r="114">
      <c r="I114" s="18" t="n">
        <v>43586</v>
      </c>
      <c r="J114" t="n">
        <v>6.12</v>
      </c>
      <c r="K114" t="n">
        <v>0.53</v>
      </c>
      <c r="L114" s="31">
        <f>AVERAGE(K111:K113)</f>
        <v/>
      </c>
      <c r="P114" s="18" t="n">
        <v>43525</v>
      </c>
      <c r="Q114" t="n">
        <v>199.361511679</v>
      </c>
    </row>
    <row r="115">
      <c r="I115" s="18" t="n">
        <v>43617</v>
      </c>
      <c r="J115" t="n">
        <v>5.02</v>
      </c>
      <c r="K115" t="n">
        <v>-0.41</v>
      </c>
      <c r="L115" s="31">
        <f>AVERAGE(K112:K114)</f>
        <v/>
      </c>
      <c r="P115" s="18" t="n">
        <v>43556</v>
      </c>
      <c r="Q115" t="n">
        <v>200.060235542</v>
      </c>
    </row>
    <row r="116">
      <c r="I116" s="18" t="n">
        <v>43647</v>
      </c>
      <c r="J116" t="n">
        <v>4.81</v>
      </c>
      <c r="K116" t="n">
        <v>-0.08</v>
      </c>
      <c r="L116" s="31">
        <f>AVERAGE(K113:K115)</f>
        <v/>
      </c>
      <c r="P116" s="18" t="n">
        <v>43586</v>
      </c>
      <c r="Q116" t="n">
        <v>201.158119691</v>
      </c>
    </row>
    <row r="117">
      <c r="I117" s="18" t="n">
        <v>43678</v>
      </c>
      <c r="J117" t="n">
        <v>4.68</v>
      </c>
      <c r="K117" t="n">
        <v>-0.17</v>
      </c>
      <c r="L117" s="31">
        <f>AVERAGE(K114:K116)</f>
        <v/>
      </c>
      <c r="P117" s="18" t="n">
        <v>43617</v>
      </c>
      <c r="Q117" t="n">
        <v>201.10010533</v>
      </c>
    </row>
    <row r="118">
      <c r="I118" s="18" t="n">
        <v>43709</v>
      </c>
      <c r="J118" t="n">
        <v>4.66</v>
      </c>
      <c r="K118" t="n">
        <v>-0.32</v>
      </c>
      <c r="L118" s="31">
        <f>AVERAGE(K115:K117)</f>
        <v/>
      </c>
      <c r="P118" s="18" t="n">
        <v>43647</v>
      </c>
      <c r="Q118" t="n">
        <v>201.550426384</v>
      </c>
    </row>
    <row r="119">
      <c r="I119" s="18" t="n">
        <v>43739</v>
      </c>
      <c r="J119" t="n">
        <v>4.89</v>
      </c>
      <c r="K119" t="n">
        <v>0.3</v>
      </c>
      <c r="L119" s="31">
        <f>AVERAGE(K116:K118)</f>
        <v/>
      </c>
      <c r="P119" s="18" t="n">
        <v>43678</v>
      </c>
      <c r="Q119" t="n">
        <v>202.313115911</v>
      </c>
    </row>
    <row r="120">
      <c r="I120" s="18" t="n">
        <v>43770</v>
      </c>
      <c r="J120" t="n">
        <v>4.39</v>
      </c>
      <c r="K120" t="n">
        <v>0.39</v>
      </c>
      <c r="L120" s="31">
        <f>AVERAGE(K117:K119)</f>
        <v/>
      </c>
      <c r="P120" s="18" t="n">
        <v>43709</v>
      </c>
      <c r="Q120" t="n">
        <v>201.744360983</v>
      </c>
    </row>
    <row r="121">
      <c r="I121" s="18" t="n">
        <v>43800</v>
      </c>
      <c r="J121" t="n">
        <v>3.69</v>
      </c>
      <c r="K121" t="n">
        <v>0.41</v>
      </c>
      <c r="L121" s="31">
        <f>AVERAGE(K118:K120)</f>
        <v/>
      </c>
      <c r="P121" s="18" t="n">
        <v>43739</v>
      </c>
      <c r="Q121" t="n">
        <v>202.264464119</v>
      </c>
    </row>
    <row r="122">
      <c r="I122" s="18" t="n">
        <v>43831</v>
      </c>
      <c r="J122" t="n">
        <v>3.03</v>
      </c>
      <c r="K122" t="n">
        <v>0.5</v>
      </c>
      <c r="L122" s="31">
        <f>AVERAGE(K119:K121)</f>
        <v/>
      </c>
      <c r="P122" s="18" t="n">
        <v>43770</v>
      </c>
      <c r="Q122" t="n">
        <v>202.851373399</v>
      </c>
    </row>
    <row r="123">
      <c r="I123" s="18" t="n">
        <v>43862</v>
      </c>
      <c r="J123" t="n">
        <v>2.71</v>
      </c>
      <c r="K123" t="n">
        <v>0.4</v>
      </c>
      <c r="L123" s="31">
        <f>AVERAGE(K120:K122)</f>
        <v/>
      </c>
      <c r="P123" s="18" t="n">
        <v>43800</v>
      </c>
      <c r="Q123" t="n">
        <v>203.239883874</v>
      </c>
    </row>
    <row r="124">
      <c r="I124" s="18" t="n">
        <v>43891</v>
      </c>
      <c r="J124" t="n">
        <v>2.84</v>
      </c>
      <c r="K124" t="n">
        <v>0.67</v>
      </c>
      <c r="L124" s="31">
        <f>AVERAGE(K121:K123)</f>
        <v/>
      </c>
      <c r="P124" s="18" t="n">
        <v>43831</v>
      </c>
      <c r="Q124" t="n">
        <v>203.64694155</v>
      </c>
    </row>
    <row r="125">
      <c r="I125" s="18" t="n">
        <v>43922</v>
      </c>
      <c r="J125" t="n">
        <v>3.57</v>
      </c>
      <c r="K125" t="n">
        <v>1.3</v>
      </c>
      <c r="L125" s="31">
        <f>AVERAGE(K122:K124)</f>
        <v/>
      </c>
      <c r="P125" s="18" t="n">
        <v>43862</v>
      </c>
      <c r="Q125" t="n">
        <v>204.00170042</v>
      </c>
    </row>
    <row r="126">
      <c r="I126" s="18" t="n">
        <v>43952</v>
      </c>
      <c r="J126" t="n">
        <v>3.14</v>
      </c>
      <c r="K126" t="n">
        <v>0.12</v>
      </c>
      <c r="L126" s="31">
        <f>AVERAGE(K123:K125)</f>
        <v/>
      </c>
      <c r="P126" s="18" t="n">
        <v>43891</v>
      </c>
      <c r="Q126" t="n">
        <v>205.020543487</v>
      </c>
    </row>
    <row r="127">
      <c r="I127" s="18" t="n">
        <v>43983</v>
      </c>
      <c r="J127" t="n">
        <v>3.57</v>
      </c>
      <c r="K127" t="n">
        <v>0.01</v>
      </c>
      <c r="L127" s="31">
        <f>AVERAGE(K124:K126)</f>
        <v/>
      </c>
      <c r="P127" s="18" t="n">
        <v>43922</v>
      </c>
      <c r="Q127" t="n">
        <v>207.190365819</v>
      </c>
    </row>
    <row r="128">
      <c r="I128" s="18" t="n">
        <v>44013</v>
      </c>
      <c r="J128" t="n">
        <v>3.5</v>
      </c>
      <c r="K128" t="n">
        <v>-0.15</v>
      </c>
      <c r="L128" s="31">
        <f>AVERAGE(K125:K127)</f>
        <v/>
      </c>
      <c r="P128" s="18" t="n">
        <v>43952</v>
      </c>
      <c r="Q128" t="n">
        <v>207.482532759</v>
      </c>
    </row>
    <row r="129">
      <c r="I129" s="18" t="n">
        <v>44044</v>
      </c>
      <c r="J129" t="n">
        <v>3.79</v>
      </c>
      <c r="K129" t="n">
        <v>0.11</v>
      </c>
      <c r="L129" s="31">
        <f>AVERAGE(K126:K128)</f>
        <v/>
      </c>
      <c r="P129" s="18" t="n">
        <v>43983</v>
      </c>
      <c r="Q129" t="n">
        <v>208.297809532</v>
      </c>
    </row>
    <row r="130">
      <c r="I130" s="18" t="n">
        <v>44075</v>
      </c>
      <c r="J130" t="n">
        <v>4.26</v>
      </c>
      <c r="K130" t="n">
        <v>0.13</v>
      </c>
      <c r="L130" s="31">
        <f>AVERAGE(K127:K129)</f>
        <v/>
      </c>
      <c r="P130" s="18" t="n">
        <v>44013</v>
      </c>
      <c r="Q130" t="n">
        <v>208.613618139</v>
      </c>
    </row>
    <row r="131">
      <c r="I131" s="18" t="n">
        <v>44105</v>
      </c>
      <c r="J131" t="n">
        <v>4.47</v>
      </c>
      <c r="K131" t="n">
        <v>0.5</v>
      </c>
      <c r="L131" s="31">
        <f>AVERAGE(K128:K130)</f>
        <v/>
      </c>
      <c r="P131" s="18" t="n">
        <v>44044</v>
      </c>
      <c r="Q131" t="n">
        <v>209.993316923</v>
      </c>
    </row>
    <row r="132">
      <c r="I132" s="18" t="n">
        <v>44136</v>
      </c>
      <c r="J132" t="n">
        <v>4.87</v>
      </c>
      <c r="K132" t="n">
        <v>0.78</v>
      </c>
      <c r="L132" s="31">
        <f>AVERAGE(K129:K131)</f>
        <v/>
      </c>
      <c r="P132" s="18" t="n">
        <v>44075</v>
      </c>
      <c r="Q132" t="n">
        <v>210.343732856</v>
      </c>
    </row>
    <row r="133">
      <c r="I133" s="18" t="n">
        <v>44166</v>
      </c>
      <c r="J133" t="n">
        <v>5.39</v>
      </c>
      <c r="K133" t="n">
        <v>0.9</v>
      </c>
      <c r="L133" s="31">
        <f>AVERAGE(K130:K132)</f>
        <v/>
      </c>
      <c r="P133" s="18" t="n">
        <v>44105</v>
      </c>
      <c r="Q133" t="n">
        <v>211.300985615</v>
      </c>
    </row>
    <row r="134">
      <c r="I134" s="18" t="n">
        <v>44197</v>
      </c>
      <c r="J134" t="n">
        <v>5.49</v>
      </c>
      <c r="K134" t="n">
        <v>0.6</v>
      </c>
      <c r="L134" s="31">
        <f>AVERAGE(K131:K133)</f>
        <v/>
      </c>
      <c r="P134" s="18" t="n">
        <v>44136</v>
      </c>
      <c r="Q134" t="n">
        <v>212.730526069</v>
      </c>
    </row>
    <row r="135">
      <c r="I135" s="18" t="n">
        <v>44228</v>
      </c>
      <c r="J135" t="n">
        <v>6.16</v>
      </c>
      <c r="K135" t="n">
        <v>1.03</v>
      </c>
      <c r="L135" s="31">
        <f>AVERAGE(K132:K134)</f>
        <v/>
      </c>
      <c r="P135" s="18" t="n">
        <v>44166</v>
      </c>
      <c r="Q135" t="n">
        <v>214.198049552</v>
      </c>
    </row>
    <row r="136">
      <c r="I136" s="18" t="n">
        <v>44256</v>
      </c>
      <c r="J136" t="n">
        <v>6.83</v>
      </c>
      <c r="K136" t="n">
        <v>1.31</v>
      </c>
      <c r="L136" s="31">
        <f>AVERAGE(K133:K135)</f>
        <v/>
      </c>
      <c r="P136" s="18" t="n">
        <v>44197</v>
      </c>
      <c r="Q136" t="n">
        <v>214.838235778</v>
      </c>
    </row>
    <row r="137">
      <c r="I137" s="18" t="n">
        <v>44287</v>
      </c>
      <c r="J137" t="n">
        <v>6.37</v>
      </c>
      <c r="K137" t="n">
        <v>0.86</v>
      </c>
      <c r="L137" s="31">
        <f>AVERAGE(K134:K136)</f>
        <v/>
      </c>
      <c r="P137" s="18" t="n">
        <v>44228</v>
      </c>
      <c r="Q137" t="n">
        <v>216.557711916</v>
      </c>
    </row>
    <row r="138">
      <c r="I138" s="18" t="n">
        <v>44317</v>
      </c>
      <c r="J138" t="n">
        <v>6.69</v>
      </c>
      <c r="K138" t="n">
        <v>0.41</v>
      </c>
      <c r="L138" s="31">
        <f>AVERAGE(K135:K137)</f>
        <v/>
      </c>
      <c r="P138" s="18" t="n">
        <v>44256</v>
      </c>
      <c r="Q138" t="n">
        <v>219.023336868</v>
      </c>
    </row>
    <row r="139">
      <c r="I139" s="18" t="n">
        <v>44348</v>
      </c>
      <c r="J139" t="n">
        <v>7.27</v>
      </c>
      <c r="K139" t="n">
        <v>0.5600000000000001</v>
      </c>
      <c r="L139" s="31">
        <f>AVERAGE(K136:K138)</f>
        <v/>
      </c>
      <c r="P139" s="18" t="n">
        <v>44287</v>
      </c>
      <c r="Q139" t="n">
        <v>220.385232804</v>
      </c>
    </row>
    <row r="140">
      <c r="I140" s="18" t="n">
        <v>44378</v>
      </c>
      <c r="J140" t="n">
        <v>7.66</v>
      </c>
      <c r="K140" t="n">
        <v>0.22</v>
      </c>
      <c r="L140" s="31">
        <f>AVERAGE(K137:K139)</f>
        <v/>
      </c>
      <c r="P140" s="18" t="n">
        <v>44317</v>
      </c>
      <c r="Q140" t="n">
        <v>221.339057894</v>
      </c>
    </row>
    <row r="141">
      <c r="I141" s="18" t="n">
        <v>44409</v>
      </c>
      <c r="J141" t="n">
        <v>7.72</v>
      </c>
      <c r="K141" t="n">
        <v>0.16</v>
      </c>
      <c r="L141" s="31">
        <f>AVERAGE(K138:K140)</f>
        <v/>
      </c>
      <c r="P141" s="18" t="n">
        <v>44348</v>
      </c>
      <c r="Q141" t="n">
        <v>223.430311848</v>
      </c>
    </row>
    <row r="142">
      <c r="I142" s="18" t="n">
        <v>44440</v>
      </c>
      <c r="J142" t="n">
        <v>8.369999999999999</v>
      </c>
      <c r="K142" t="n">
        <v>0.73</v>
      </c>
      <c r="L142" s="31">
        <f>AVERAGE(K139:K141)</f>
        <v/>
      </c>
      <c r="P142" s="18" t="n">
        <v>44378</v>
      </c>
      <c r="Q142" t="n">
        <v>224.59070691</v>
      </c>
    </row>
    <row r="143">
      <c r="I143" s="18" t="n">
        <v>44470</v>
      </c>
      <c r="J143" t="n">
        <v>8.83</v>
      </c>
      <c r="K143" t="n">
        <v>0.92</v>
      </c>
      <c r="L143" s="31">
        <f>AVERAGE(K140:K142)</f>
        <v/>
      </c>
      <c r="P143" s="18" t="n">
        <v>44409</v>
      </c>
      <c r="Q143" t="n">
        <v>226.194021145</v>
      </c>
    </row>
    <row r="144">
      <c r="I144" s="18" t="n">
        <v>44501</v>
      </c>
      <c r="J144" t="n">
        <v>8.91</v>
      </c>
      <c r="K144" t="n">
        <v>0.86</v>
      </c>
      <c r="L144" s="31">
        <f>AVERAGE(K141:K143)</f>
        <v/>
      </c>
      <c r="P144" s="18" t="n">
        <v>44440</v>
      </c>
      <c r="Q144" t="n">
        <v>227.920044417</v>
      </c>
    </row>
    <row r="145">
      <c r="I145" s="18" t="n">
        <v>44531</v>
      </c>
      <c r="J145" t="n">
        <v>8.17</v>
      </c>
      <c r="K145" t="n">
        <v>0.21</v>
      </c>
      <c r="L145" s="31">
        <f>AVERAGE(K142:K144)</f>
        <v/>
      </c>
      <c r="P145" s="18" t="n">
        <v>44470</v>
      </c>
      <c r="Q145" t="n">
        <v>229.907517282</v>
      </c>
    </row>
    <row r="146">
      <c r="I146" s="18" t="n">
        <v>44562</v>
      </c>
      <c r="J146" t="n">
        <v>8.84</v>
      </c>
      <c r="K146" t="n">
        <v>1.22</v>
      </c>
      <c r="L146" s="31">
        <f>AVERAGE(K143:K145)</f>
        <v/>
      </c>
      <c r="P146" s="18" t="n">
        <v>44501</v>
      </c>
      <c r="Q146" t="n">
        <v>231.641016371</v>
      </c>
    </row>
    <row r="147">
      <c r="I147" s="18" t="n">
        <v>44593</v>
      </c>
      <c r="J147" t="n">
        <v>8.73</v>
      </c>
      <c r="K147" t="n">
        <v>0.9399999999999999</v>
      </c>
      <c r="L147" s="31">
        <f>AVERAGE(K144:K146)</f>
        <v/>
      </c>
      <c r="P147" s="18" t="n">
        <v>44531</v>
      </c>
      <c r="Q147" t="n">
        <v>231.664598784</v>
      </c>
    </row>
    <row r="148">
      <c r="I148" s="18" t="n">
        <v>44621</v>
      </c>
      <c r="J148" t="n">
        <v>13.29</v>
      </c>
      <c r="K148" t="n">
        <v>5.55</v>
      </c>
      <c r="L148" s="31">
        <f>AVERAGE(K145:K147)</f>
        <v/>
      </c>
      <c r="P148" s="18" t="n">
        <v>44562</v>
      </c>
      <c r="Q148" t="n">
        <v>233.784233199</v>
      </c>
    </row>
    <row r="149">
      <c r="I149" s="18" t="n">
        <v>44652</v>
      </c>
      <c r="J149" t="n">
        <v>16</v>
      </c>
      <c r="K149" t="n">
        <v>3.28</v>
      </c>
      <c r="L149" s="31">
        <f>AVERAGE(K146:K148)</f>
        <v/>
      </c>
      <c r="P149" s="18" t="n">
        <v>44593</v>
      </c>
      <c r="Q149" t="n">
        <v>235.44111084</v>
      </c>
    </row>
    <row r="150">
      <c r="I150" s="18" t="n">
        <v>44682</v>
      </c>
      <c r="J150" t="n">
        <v>16.31</v>
      </c>
      <c r="K150" t="n">
        <v>0.68</v>
      </c>
      <c r="L150" s="31">
        <f>AVERAGE(K147:K149)</f>
        <v/>
      </c>
      <c r="P150" s="18" t="n">
        <v>44621</v>
      </c>
      <c r="Q150" t="n">
        <v>248.093396561</v>
      </c>
    </row>
    <row r="151">
      <c r="I151" s="18" t="n">
        <v>44713</v>
      </c>
      <c r="J151" t="n">
        <v>14.88</v>
      </c>
      <c r="K151" t="n">
        <v>-0.68</v>
      </c>
      <c r="L151" s="31">
        <f>AVERAGE(K148:K150)</f>
        <v/>
      </c>
      <c r="P151" s="18" t="n">
        <v>44652</v>
      </c>
      <c r="Q151" t="n">
        <v>255.633098878</v>
      </c>
    </row>
    <row r="152">
      <c r="I152" s="18" t="n">
        <v>44743</v>
      </c>
      <c r="J152" t="n">
        <v>13.75</v>
      </c>
      <c r="K152" t="n">
        <v>-0.77</v>
      </c>
      <c r="L152" s="31">
        <f>AVERAGE(K149:K151)</f>
        <v/>
      </c>
      <c r="P152" s="18" t="n">
        <v>44682</v>
      </c>
      <c r="Q152" t="n">
        <v>257.432425656</v>
      </c>
    </row>
    <row r="153">
      <c r="I153" s="18" t="n">
        <v>44774</v>
      </c>
      <c r="J153" t="n">
        <v>12.92</v>
      </c>
      <c r="K153" t="n">
        <v>-0.57</v>
      </c>
      <c r="L153" s="31">
        <f>AVERAGE(K150:K152)</f>
        <v/>
      </c>
      <c r="P153" s="18" t="n">
        <v>44713</v>
      </c>
      <c r="Q153" t="n">
        <v>256.661193336</v>
      </c>
    </row>
    <row r="154">
      <c r="I154" s="18" t="n">
        <v>44805</v>
      </c>
      <c r="J154" t="n">
        <v>12.46</v>
      </c>
      <c r="K154" t="n">
        <v>0.33</v>
      </c>
      <c r="L154" s="31">
        <f>AVERAGE(K151:K153)</f>
        <v/>
      </c>
      <c r="P154" s="18" t="n">
        <v>44743</v>
      </c>
      <c r="Q154" t="n">
        <v>255.43330607</v>
      </c>
    </row>
    <row r="155">
      <c r="I155" s="18" t="n">
        <v>44835</v>
      </c>
      <c r="J155" t="n">
        <v>12.17</v>
      </c>
      <c r="K155" t="n">
        <v>0.66</v>
      </c>
      <c r="L155" s="31">
        <f>AVERAGE(K152:K154)</f>
        <v/>
      </c>
      <c r="P155" s="18" t="n">
        <v>44774</v>
      </c>
      <c r="Q155" t="n">
        <v>255.387632684</v>
      </c>
    </row>
    <row r="156">
      <c r="I156" s="18" t="n">
        <v>44866</v>
      </c>
      <c r="J156" t="n">
        <v>11.51</v>
      </c>
      <c r="K156" t="n">
        <v>0.26</v>
      </c>
      <c r="L156" s="31">
        <f>AVERAGE(K153:K155)</f>
        <v/>
      </c>
      <c r="P156" s="18" t="n">
        <v>44805</v>
      </c>
      <c r="Q156" t="n">
        <v>256.304135976</v>
      </c>
    </row>
    <row r="157">
      <c r="I157" s="18" t="n">
        <v>44896</v>
      </c>
      <c r="J157" t="n">
        <v>11.9</v>
      </c>
      <c r="K157" t="n">
        <v>0.57</v>
      </c>
      <c r="L157" s="31">
        <f>AVERAGE(K154:K156)</f>
        <v/>
      </c>
      <c r="P157" s="18" t="n">
        <v>44835</v>
      </c>
      <c r="Q157" t="n">
        <v>257.868483917</v>
      </c>
    </row>
    <row r="158">
      <c r="I158" s="18" t="n">
        <v>44927</v>
      </c>
      <c r="J158" t="n">
        <v>11.8</v>
      </c>
      <c r="K158" t="n">
        <v>1.13</v>
      </c>
      <c r="L158" s="31">
        <f>AVERAGE(K155:K157)</f>
        <v/>
      </c>
      <c r="P158" s="18" t="n">
        <v>44866</v>
      </c>
      <c r="Q158" t="n">
        <v>258.260450459</v>
      </c>
    </row>
    <row r="159">
      <c r="I159" s="18" t="n">
        <v>44958</v>
      </c>
      <c r="J159" t="n">
        <v>11.59</v>
      </c>
      <c r="K159" t="n">
        <v>0.75</v>
      </c>
      <c r="L159" s="31">
        <f>AVERAGE(K156:K158)</f>
        <v/>
      </c>
      <c r="P159" s="18" t="n">
        <v>44896</v>
      </c>
      <c r="Q159" t="n">
        <v>259.23109683</v>
      </c>
    </row>
    <row r="160">
      <c r="I160" s="18" t="n">
        <v>44986</v>
      </c>
      <c r="J160" t="n">
        <v>6.14</v>
      </c>
      <c r="K160" t="n">
        <v>0.39</v>
      </c>
      <c r="L160" s="31">
        <f>AVERAGE(K157:K159)</f>
        <v/>
      </c>
      <c r="P160" s="18" t="n">
        <v>44927</v>
      </c>
      <c r="Q160" t="n">
        <v>261.367138816</v>
      </c>
    </row>
    <row r="161">
      <c r="I161" s="18" t="n">
        <v>45017</v>
      </c>
      <c r="J161" t="n">
        <v>3.51</v>
      </c>
      <c r="K161" t="n">
        <v>0.72</v>
      </c>
      <c r="L161" s="31">
        <f>AVERAGE(K158:K160)</f>
        <v/>
      </c>
      <c r="P161" s="18" t="n">
        <v>44958</v>
      </c>
      <c r="Q161" t="n">
        <v>262.721073879</v>
      </c>
    </row>
    <row r="162">
      <c r="I162" s="18" t="n">
        <v>45047</v>
      </c>
      <c r="J162" t="n">
        <v>2.55</v>
      </c>
      <c r="K162" t="n">
        <v>-0.25</v>
      </c>
      <c r="L162" s="31">
        <f>AVERAGE(K159:K161)</f>
        <v/>
      </c>
      <c r="P162" s="18" t="n">
        <v>44986</v>
      </c>
      <c r="Q162" t="n">
        <v>263.312685017</v>
      </c>
    </row>
    <row r="163">
      <c r="I163" s="18" t="n">
        <v>45078</v>
      </c>
      <c r="J163" t="n">
        <v>3.69</v>
      </c>
      <c r="K163" t="n">
        <v>0.43</v>
      </c>
      <c r="L163" s="31">
        <f>AVERAGE(K160:K162)</f>
        <v/>
      </c>
      <c r="P163" s="18" t="n">
        <v>45017</v>
      </c>
      <c r="Q163" t="n">
        <v>264.602013069</v>
      </c>
    </row>
    <row r="164">
      <c r="I164" s="18" t="n">
        <v>45108</v>
      </c>
      <c r="J164" t="n">
        <v>5.03</v>
      </c>
      <c r="K164" t="n">
        <v>0.5</v>
      </c>
      <c r="L164" s="31">
        <f>AVERAGE(K161:K163)</f>
        <v/>
      </c>
      <c r="P164" s="18" t="n">
        <v>45047</v>
      </c>
      <c r="Q164" t="n">
        <v>264.011876134</v>
      </c>
    </row>
    <row r="165">
      <c r="I165" s="18" t="n">
        <v>45139</v>
      </c>
      <c r="J165" t="n">
        <v>5.56</v>
      </c>
      <c r="K165" t="n">
        <v>-0.07000000000000001</v>
      </c>
      <c r="L165" s="31">
        <f>AVERAGE(K162:K164)</f>
        <v/>
      </c>
      <c r="P165" s="18" t="n">
        <v>45078</v>
      </c>
      <c r="Q165" t="n">
        <v>266.161393848</v>
      </c>
    </row>
    <row r="166">
      <c r="I166" s="18" t="n">
        <v>45170</v>
      </c>
      <c r="J166" t="n">
        <v>7.05</v>
      </c>
      <c r="K166" t="n">
        <v>1.75</v>
      </c>
      <c r="L166" s="31">
        <f>AVERAGE(K163:K165)</f>
        <v/>
      </c>
      <c r="P166" s="18" t="n">
        <v>45108</v>
      </c>
      <c r="Q166" t="n">
        <v>268.256651166</v>
      </c>
    </row>
    <row r="167">
      <c r="I167" s="18" t="n">
        <v>45200</v>
      </c>
      <c r="J167" t="n">
        <v>6.84</v>
      </c>
      <c r="K167" t="n">
        <v>0.46</v>
      </c>
      <c r="L167" s="31">
        <f>AVERAGE(K164:K166)</f>
        <v/>
      </c>
      <c r="P167" s="18" t="n">
        <v>45139</v>
      </c>
      <c r="Q167" t="n">
        <v>269.558808149</v>
      </c>
    </row>
    <row r="168">
      <c r="I168" s="18" t="n">
        <v>45231</v>
      </c>
      <c r="J168" t="n">
        <v>7.34</v>
      </c>
      <c r="K168" t="n">
        <v>0.74</v>
      </c>
      <c r="L168" s="31">
        <f>AVERAGE(K165:K167)</f>
        <v/>
      </c>
      <c r="P168" s="18" t="n">
        <v>45170</v>
      </c>
      <c r="Q168" t="n">
        <v>274.347870151</v>
      </c>
    </row>
    <row r="169">
      <c r="I169" s="18" t="n">
        <v>45261</v>
      </c>
      <c r="J169" t="n">
        <v>7.05</v>
      </c>
      <c r="K169" t="n">
        <v>0.29</v>
      </c>
      <c r="L169" s="31">
        <f>AVERAGE(K166:K168)</f>
        <v/>
      </c>
      <c r="P169" s="18" t="n">
        <v>45200</v>
      </c>
      <c r="Q169" t="n">
        <v>275.470718343</v>
      </c>
    </row>
    <row r="170">
      <c r="I170" s="18" t="n">
        <v>45292</v>
      </c>
      <c r="J170" t="n">
        <v>6.77</v>
      </c>
      <c r="K170" t="n">
        <v>0.87</v>
      </c>
      <c r="L170" s="31">
        <f>AVERAGE(K167:K169)</f>
        <v/>
      </c>
      <c r="P170" s="18" t="n">
        <v>45231</v>
      </c>
      <c r="Q170" t="n">
        <v>277.201644262</v>
      </c>
    </row>
    <row r="171">
      <c r="I171" s="18" t="n">
        <v>45323</v>
      </c>
      <c r="J171" t="n">
        <v>6.54</v>
      </c>
      <c r="K171" t="n">
        <v>0.53</v>
      </c>
      <c r="L171" s="31">
        <f>AVERAGE(K168:K170)</f>
        <v/>
      </c>
      <c r="P171" s="18" t="n">
        <v>45261</v>
      </c>
      <c r="Q171" t="n">
        <v>277.482753443</v>
      </c>
    </row>
    <row r="172">
      <c r="I172" s="18" t="n">
        <v>45352</v>
      </c>
      <c r="J172" t="n">
        <v>6.68</v>
      </c>
      <c r="K172" t="n">
        <v>0.53</v>
      </c>
      <c r="L172" s="31">
        <f>AVERAGE(K169:K171)</f>
        <v/>
      </c>
      <c r="P172" s="18" t="n">
        <v>45292</v>
      </c>
      <c r="Q172" t="n">
        <v>279.052697726</v>
      </c>
    </row>
    <row r="173">
      <c r="I173" s="18" t="n">
        <v>45383</v>
      </c>
      <c r="J173" t="n">
        <v>6.32</v>
      </c>
      <c r="K173" t="n">
        <v>0.38</v>
      </c>
      <c r="L173" s="31">
        <f>AVERAGE(K170:K172)</f>
        <v/>
      </c>
      <c r="P173" s="18" t="n">
        <v>45323</v>
      </c>
      <c r="Q173" t="n">
        <v>279.882523719</v>
      </c>
    </row>
    <row r="174">
      <c r="I174" s="18" t="n">
        <v>45413</v>
      </c>
      <c r="J174" t="n">
        <v>7.59</v>
      </c>
      <c r="K174" t="n">
        <v>0.9399999999999999</v>
      </c>
      <c r="L174" s="31">
        <f>AVERAGE(K171:K173)</f>
        <v/>
      </c>
      <c r="P174" s="18" t="n">
        <v>45352</v>
      </c>
      <c r="Q174" t="n">
        <v>280.908995901</v>
      </c>
    </row>
    <row r="175">
      <c r="I175" s="18" t="n">
        <v>45444</v>
      </c>
      <c r="J175" t="n">
        <v>7.33</v>
      </c>
      <c r="K175" t="n">
        <v>0.18</v>
      </c>
      <c r="L175" s="31">
        <f>AVERAGE(K172:K174)</f>
        <v/>
      </c>
      <c r="P175" s="18" t="n">
        <v>45383</v>
      </c>
      <c r="Q175" t="n">
        <v>281.341950598</v>
      </c>
      <c r="R175" t="n">
        <v>100.33</v>
      </c>
    </row>
    <row r="176">
      <c r="I176" s="18" t="n">
        <v>45474</v>
      </c>
      <c r="J176" t="n">
        <v>7.94</v>
      </c>
      <c r="K176" t="n">
        <v>1.07</v>
      </c>
      <c r="L176" s="31">
        <f>AVERAGE(K173:K175)</f>
        <v/>
      </c>
      <c r="P176" s="18" t="n">
        <v>45413</v>
      </c>
      <c r="Q176" t="n">
        <v>284.067942938</v>
      </c>
      <c r="R176" t="n">
        <v>100.33</v>
      </c>
    </row>
    <row r="177">
      <c r="I177" s="18" t="n">
        <v>45505</v>
      </c>
      <c r="J177" t="n">
        <v>8.1</v>
      </c>
      <c r="K177" t="n">
        <v>0.09</v>
      </c>
      <c r="L177" s="31">
        <f>AVERAGE(K174:K176)</f>
        <v/>
      </c>
      <c r="P177" s="18" t="n">
        <v>45444</v>
      </c>
      <c r="Q177" t="n">
        <v>285.667335738</v>
      </c>
      <c r="R177" t="n">
        <v>100.33</v>
      </c>
    </row>
    <row r="178">
      <c r="I178" s="18" t="n">
        <v>45536</v>
      </c>
      <c r="J178" t="n">
        <v>6.91</v>
      </c>
      <c r="K178" t="n">
        <v>0.62</v>
      </c>
      <c r="L178" s="31">
        <f>AVERAGE(K175:K177)</f>
        <v/>
      </c>
      <c r="P178" s="18" t="n">
        <v>45474</v>
      </c>
      <c r="Q178" t="n">
        <v>289.529651589</v>
      </c>
      <c r="R178" t="n">
        <v>100.33</v>
      </c>
    </row>
    <row r="179">
      <c r="I179" s="18" t="n">
        <v>45566</v>
      </c>
      <c r="J179" t="n">
        <v>7.49</v>
      </c>
      <c r="K179" t="n">
        <v>1.02</v>
      </c>
      <c r="L179" s="31">
        <f>AVERAGE(K176:K178)</f>
        <v/>
      </c>
      <c r="P179" s="18" t="n">
        <v>45505</v>
      </c>
      <c r="Q179" t="n">
        <v>291.402503446</v>
      </c>
      <c r="R179" t="n">
        <v>100.33</v>
      </c>
    </row>
    <row r="180">
      <c r="I180" s="18" t="n">
        <v>45597</v>
      </c>
      <c r="J180" t="n">
        <v>8.31</v>
      </c>
      <c r="K180" t="n">
        <v>1.5</v>
      </c>
      <c r="L180" s="31">
        <f>AVERAGE(K177:K179)</f>
        <v/>
      </c>
      <c r="P180" s="18" t="n">
        <v>45536</v>
      </c>
      <c r="Q180" t="n">
        <v>293.292516865</v>
      </c>
      <c r="R180" t="n">
        <v>100.33</v>
      </c>
    </row>
    <row r="181">
      <c r="I181" s="18" t="n">
        <v>45627</v>
      </c>
      <c r="J181" t="n">
        <v>8.98</v>
      </c>
      <c r="K181" t="n">
        <v>0.91</v>
      </c>
      <c r="L181" s="31">
        <f>AVERAGE(K178:K180)</f>
        <v/>
      </c>
      <c r="P181" s="18" t="n">
        <v>45566</v>
      </c>
      <c r="Q181" t="n">
        <v>296.131967678</v>
      </c>
      <c r="R181" t="n">
        <v>100.33</v>
      </c>
    </row>
    <row r="182">
      <c r="I182" s="18" t="n">
        <v>45658</v>
      </c>
      <c r="J182" t="n">
        <v>8.949999999999999</v>
      </c>
      <c r="K182" t="n">
        <v>0.84</v>
      </c>
      <c r="L182" s="31">
        <f>AVERAGE(K179:K181)</f>
        <v/>
      </c>
      <c r="P182" s="18" t="n">
        <v>45597</v>
      </c>
      <c r="Q182" t="n">
        <v>300.231519</v>
      </c>
      <c r="R182" t="n">
        <v>100.33</v>
      </c>
    </row>
    <row r="183">
      <c r="I183" s="18" t="n">
        <v>45689</v>
      </c>
      <c r="J183" t="n">
        <v>9.83</v>
      </c>
      <c r="K183" t="n">
        <v>1.34</v>
      </c>
      <c r="L183" s="31">
        <f>AVERAGE(K180:K182)</f>
        <v/>
      </c>
      <c r="P183" s="18" t="n">
        <v>45627</v>
      </c>
      <c r="Q183" t="n">
        <v>302.402799906</v>
      </c>
      <c r="R183" t="n">
        <v>100.33</v>
      </c>
    </row>
    <row r="184">
      <c r="I184" s="18" t="n">
        <v>45717</v>
      </c>
      <c r="K184" t="n">
        <v>0.8</v>
      </c>
      <c r="L184" s="31">
        <f>AVERAGE(K181:K183)</f>
        <v/>
      </c>
      <c r="P184" s="18" t="n">
        <v>45658</v>
      </c>
      <c r="Q184" t="n">
        <v>304.02493059</v>
      </c>
      <c r="R184" t="n">
        <v>100.33</v>
      </c>
    </row>
    <row r="185">
      <c r="I185" s="18" t="n">
        <v>45748</v>
      </c>
      <c r="L185" s="31">
        <f>AVERAGE(K182:K184)</f>
        <v/>
      </c>
      <c r="P185" s="18" t="n">
        <v>45689</v>
      </c>
      <c r="Q185" t="n">
        <v>307.379452693</v>
      </c>
      <c r="R185" t="n">
        <v>100.33</v>
      </c>
    </row>
    <row r="186">
      <c r="P186" s="18" t="n">
        <v>45717</v>
      </c>
      <c r="Q186" t="n">
        <v>309.334840639</v>
      </c>
      <c r="R186" t="n">
        <v>100.33</v>
      </c>
      <c r="S186" s="8">
        <f>ROUND(PRODUCT(R175:R186)/100^11,2)</f>
        <v/>
      </c>
    </row>
    <row r="187">
      <c r="P187" s="18" t="n">
        <v>45748</v>
      </c>
      <c r="Q187" t="n">
        <v>310.032468809</v>
      </c>
    </row>
    <row r="188">
      <c r="P188" s="18" t="n">
        <v>45778</v>
      </c>
      <c r="Q188" t="n">
        <v>310.74603675</v>
      </c>
    </row>
    <row r="189">
      <c r="P189" s="18" t="n">
        <v>45809</v>
      </c>
      <c r="Q189" t="n">
        <v>312.214310645</v>
      </c>
    </row>
    <row r="190">
      <c r="P190" s="18" t="n">
        <v>45839</v>
      </c>
      <c r="Q190" t="n">
        <v>316.205537584</v>
      </c>
    </row>
    <row r="191">
      <c r="P191" s="18" t="n">
        <v>45870</v>
      </c>
      <c r="Q191" t="n">
        <v>317.741717834</v>
      </c>
    </row>
    <row r="192">
      <c r="P192" s="18" t="n">
        <v>45901</v>
      </c>
      <c r="Q192" t="n">
        <v>318.476156464</v>
      </c>
    </row>
    <row r="193">
      <c r="P193" s="18" t="n">
        <v>45931</v>
      </c>
      <c r="Q193" t="n">
        <v>319.839901083</v>
      </c>
    </row>
    <row r="194">
      <c r="P194" s="18" t="n">
        <v>45962</v>
      </c>
      <c r="Q194" t="n">
        <v>320.592808393</v>
      </c>
    </row>
    <row r="195">
      <c r="P195" s="18" t="n">
        <v>45992</v>
      </c>
      <c r="Q195" t="n">
        <v>320.966361836</v>
      </c>
    </row>
    <row r="196">
      <c r="P196" s="18" t="n">
        <v>46023</v>
      </c>
      <c r="Q196" t="n">
        <v>322.082551268</v>
      </c>
    </row>
    <row r="197">
      <c r="P197" s="18" t="n">
        <v>46054</v>
      </c>
      <c r="Q197" t="n">
        <v>323.110952095</v>
      </c>
    </row>
    <row r="198">
      <c r="P198" s="18" t="n">
        <v>46082</v>
      </c>
      <c r="Q198" t="n">
        <v>324.148528358</v>
      </c>
    </row>
    <row r="199">
      <c r="P199" s="18" t="n">
        <v>46113</v>
      </c>
      <c r="Q199" t="n">
        <v>325.657331625</v>
      </c>
    </row>
    <row r="200">
      <c r="P200" s="18" t="n">
        <v>46143</v>
      </c>
      <c r="Q200" t="n">
        <v>326.667363349</v>
      </c>
    </row>
    <row r="201">
      <c r="P201" s="18" t="n">
        <v>46174</v>
      </c>
      <c r="Q201" t="n">
        <v>328.131161652</v>
      </c>
    </row>
    <row r="202">
      <c r="P202" s="18" t="n">
        <v>46204</v>
      </c>
      <c r="Q202" t="n">
        <v>328.579625327</v>
      </c>
    </row>
    <row r="203">
      <c r="P203" s="18" t="n">
        <v>46235</v>
      </c>
      <c r="Q203" t="n">
        <v>329.793928018</v>
      </c>
    </row>
    <row r="204">
      <c r="P204" s="18" t="n">
        <v>46266</v>
      </c>
      <c r="Q204" t="n">
        <v>330.137057538</v>
      </c>
    </row>
    <row r="205">
      <c r="P205" s="18" t="n">
        <v>46296</v>
      </c>
      <c r="Q205" t="n">
        <v>331.420065551</v>
      </c>
    </row>
    <row r="206">
      <c r="P206" s="18" t="n">
        <v>46327</v>
      </c>
      <c r="Q206" t="n">
        <v>333.015383216</v>
      </c>
    </row>
    <row r="207">
      <c r="P207" s="18" t="n">
        <v>46357</v>
      </c>
      <c r="Q207" t="n">
        <v>333.922064808</v>
      </c>
    </row>
    <row r="208">
      <c r="P208" s="18" t="n">
        <v>46388</v>
      </c>
      <c r="Q208" t="n">
        <v>335.511442844</v>
      </c>
    </row>
    <row r="209">
      <c r="P209" s="18" t="n">
        <v>46419</v>
      </c>
      <c r="Q209" t="n">
        <v>337.307024985</v>
      </c>
    </row>
    <row r="210">
      <c r="P210" s="18" t="n">
        <v>46447</v>
      </c>
      <c r="Q210" t="n">
        <v>339.11221668</v>
      </c>
    </row>
    <row r="211">
      <c r="P211" s="18" t="n">
        <v>46478</v>
      </c>
      <c r="Q211" t="n">
        <v>340.927069359</v>
      </c>
    </row>
    <row r="212">
      <c r="P212" s="18" t="n">
        <v>46508</v>
      </c>
      <c r="Q212" t="n">
        <v>342.751634723</v>
      </c>
    </row>
    <row r="213">
      <c r="P213" s="18" t="n">
        <v>46539</v>
      </c>
      <c r="Q213" t="n">
        <v>344.585964753</v>
      </c>
    </row>
    <row r="214">
      <c r="P214" s="18" t="n">
        <v>46569</v>
      </c>
      <c r="Q214" t="n">
        <v>346.430111707</v>
      </c>
    </row>
    <row r="215">
      <c r="P215" s="18" t="n">
        <v>46600</v>
      </c>
      <c r="Q215" t="n">
        <v>348.284128122</v>
      </c>
    </row>
    <row r="216">
      <c r="P216" s="18" t="n">
        <v>46631</v>
      </c>
      <c r="Q216" t="n">
        <v>350.148066819</v>
      </c>
    </row>
    <row r="217">
      <c r="P217" s="18" t="n">
        <v>46661</v>
      </c>
      <c r="Q217" t="n">
        <v>352.021980898</v>
      </c>
    </row>
    <row r="218">
      <c r="P218" s="18" t="n">
        <v>46692</v>
      </c>
      <c r="Q218" t="n">
        <v>353.905923747</v>
      </c>
    </row>
    <row r="219">
      <c r="P219" s="18" t="n">
        <v>46722</v>
      </c>
      <c r="Q219" t="n">
        <v>355.799949035</v>
      </c>
    </row>
  </sheetData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9"/>
  <sheetViews>
    <sheetView zoomScale="85" zoomScaleNormal="85" workbookViewId="0">
      <pane ySplit="1" topLeftCell="A168" activePane="bottomLeft" state="frozen"/>
      <selection pane="bottomLeft" activeCell="E233" sqref="E233"/>
    </sheetView>
  </sheetViews>
  <sheetFormatPr baseColWidth="8" defaultRowHeight="14.4"/>
  <cols>
    <col width="10.09765625" bestFit="1" customWidth="1" min="1" max="1"/>
    <col width="9.09765625" customWidth="1" style="1" min="2" max="2"/>
    <col width="9.09765625" customWidth="1" min="4" max="4"/>
    <col width="11.69921875" bestFit="1" customWidth="1" min="5" max="5"/>
    <col width="10.69921875" bestFit="1" customWidth="1" min="6" max="29"/>
  </cols>
  <sheetData>
    <row r="1">
      <c r="A1" s="20" t="inlineStr">
        <is>
          <t>Date</t>
        </is>
      </c>
      <c r="B1" s="1" t="inlineStr">
        <is>
          <t>IPC_BASE</t>
        </is>
      </c>
    </row>
    <row r="2">
      <c r="A2" s="18" t="n">
        <v>40148</v>
      </c>
      <c r="B2" s="1" t="n">
        <v>100</v>
      </c>
    </row>
    <row r="3">
      <c r="A3" s="18" t="n">
        <v>40179</v>
      </c>
      <c r="B3" s="21" t="n">
        <v>101.49</v>
      </c>
      <c r="F3" s="18" t="n">
        <v>40148</v>
      </c>
      <c r="G3" t="n">
        <v>100.243891046</v>
      </c>
    </row>
    <row r="4">
      <c r="A4" s="18" t="n">
        <v>40210</v>
      </c>
      <c r="B4" s="21" t="n">
        <v>102.70788</v>
      </c>
      <c r="F4" s="18" t="n">
        <v>40179</v>
      </c>
      <c r="G4" t="n">
        <v>101.420712306</v>
      </c>
    </row>
    <row r="5">
      <c r="A5" s="18" t="n">
        <v>40238</v>
      </c>
      <c r="B5" s="21" t="n">
        <v>103.652792496</v>
      </c>
      <c r="F5" s="18" t="n">
        <v>40210</v>
      </c>
      <c r="G5" t="n">
        <v>102.410136588</v>
      </c>
    </row>
    <row r="6">
      <c r="A6" s="18" t="n">
        <v>40269</v>
      </c>
      <c r="B6" s="21" t="n">
        <v>104.2643439717264</v>
      </c>
      <c r="F6" s="18" t="n">
        <v>40238</v>
      </c>
      <c r="G6" t="n">
        <v>103.177395672</v>
      </c>
    </row>
    <row r="7">
      <c r="A7" s="18" t="n">
        <v>40299</v>
      </c>
      <c r="B7" s="21" t="n">
        <v>104.9316357731455</v>
      </c>
      <c r="F7" s="18" t="n">
        <v>40269</v>
      </c>
      <c r="G7" t="n">
        <v>103.564847157</v>
      </c>
    </row>
    <row r="8">
      <c r="A8" s="18" t="n">
        <v>40330</v>
      </c>
      <c r="B8" s="21" t="n">
        <v>105.6976367142894</v>
      </c>
      <c r="F8" s="18" t="n">
        <v>40299</v>
      </c>
      <c r="G8" t="n">
        <v>104.226097418</v>
      </c>
    </row>
    <row r="9">
      <c r="A9" s="18" t="n">
        <v>40360</v>
      </c>
      <c r="B9" s="21" t="n">
        <v>105.1797182943894</v>
      </c>
      <c r="F9" s="18" t="n">
        <v>40330</v>
      </c>
      <c r="G9" t="n">
        <v>105.398960113</v>
      </c>
    </row>
    <row r="10">
      <c r="A10" s="18" t="n">
        <v>40391</v>
      </c>
      <c r="B10" s="21" t="n">
        <v>105.6845809422025</v>
      </c>
      <c r="F10" s="18" t="n">
        <v>40360</v>
      </c>
      <c r="G10" t="n">
        <v>105.220995347</v>
      </c>
    </row>
    <row r="11">
      <c r="A11" s="18" t="n">
        <v>40422</v>
      </c>
      <c r="B11" s="21" t="n">
        <v>108.1047578457789</v>
      </c>
      <c r="F11" s="18" t="n">
        <v>40391</v>
      </c>
      <c r="G11" t="n">
        <v>106.29370065</v>
      </c>
    </row>
    <row r="12">
      <c r="A12" s="18" t="n">
        <v>40452</v>
      </c>
      <c r="B12" s="21" t="n">
        <v>108.6452816350078</v>
      </c>
      <c r="F12" s="18" t="n">
        <v>40422</v>
      </c>
      <c r="G12" t="n">
        <v>108.73083968</v>
      </c>
    </row>
    <row r="13">
      <c r="A13" s="18" t="n">
        <v>40483</v>
      </c>
      <c r="B13" s="21" t="n">
        <v>109.6448182260499</v>
      </c>
      <c r="F13" s="18" t="n">
        <v>40452</v>
      </c>
      <c r="G13" t="n">
        <v>109.248236946</v>
      </c>
    </row>
    <row r="14">
      <c r="A14" s="18" t="n">
        <v>40513</v>
      </c>
      <c r="B14" s="21" t="n">
        <v>111.3662418721989</v>
      </c>
      <c r="F14" s="18" t="n">
        <v>40483</v>
      </c>
      <c r="G14" t="n">
        <v>110.166927264</v>
      </c>
    </row>
    <row r="15">
      <c r="A15" s="18" t="n">
        <v>40544</v>
      </c>
      <c r="B15" s="21" t="n">
        <v>114.0390316771317</v>
      </c>
      <c r="F15" s="18" t="n">
        <v>40513</v>
      </c>
      <c r="G15" t="n">
        <v>111.637182816</v>
      </c>
    </row>
    <row r="16">
      <c r="A16" s="18" t="n">
        <v>40575</v>
      </c>
      <c r="B16" s="21" t="n">
        <v>115.2478454129093</v>
      </c>
      <c r="F16" s="18" t="n">
        <v>40544</v>
      </c>
      <c r="G16" t="n">
        <v>113.962491699</v>
      </c>
    </row>
    <row r="17">
      <c r="A17" s="18" t="n">
        <v>40603</v>
      </c>
      <c r="B17" s="21" t="n">
        <v>116.5386212815338</v>
      </c>
      <c r="F17" s="18" t="n">
        <v>40575</v>
      </c>
      <c r="G17" t="n">
        <v>114.915621732</v>
      </c>
    </row>
    <row r="18">
      <c r="A18" s="18" t="n">
        <v>40634</v>
      </c>
      <c r="B18" s="21" t="n">
        <v>117.2378530092231</v>
      </c>
      <c r="F18" s="18" t="n">
        <v>40603</v>
      </c>
      <c r="G18" t="n">
        <v>116.005999082</v>
      </c>
    </row>
    <row r="19">
      <c r="A19" s="18" t="n">
        <v>40664</v>
      </c>
      <c r="B19" s="21" t="n">
        <v>117.6012903535516</v>
      </c>
      <c r="F19" s="18" t="n">
        <v>40634</v>
      </c>
      <c r="G19" t="n">
        <v>116.451508822</v>
      </c>
    </row>
    <row r="20">
      <c r="A20" s="18" t="n">
        <v>40695</v>
      </c>
      <c r="B20" s="21" t="n">
        <v>116.883922482395</v>
      </c>
      <c r="F20" s="18" t="n">
        <v>40664</v>
      </c>
      <c r="G20" t="n">
        <v>116.809975275</v>
      </c>
    </row>
    <row r="21">
      <c r="A21" s="18" t="n">
        <v>40725</v>
      </c>
      <c r="B21" s="21" t="n">
        <v>116.837168913402</v>
      </c>
      <c r="F21" s="18" t="n">
        <v>40695</v>
      </c>
      <c r="G21" t="n">
        <v>116.553108637</v>
      </c>
    </row>
    <row r="22">
      <c r="A22" s="18" t="n">
        <v>40756</v>
      </c>
      <c r="B22" s="21" t="n">
        <v>116.6268620093579</v>
      </c>
      <c r="F22" s="18" t="n">
        <v>40725</v>
      </c>
      <c r="G22" t="n">
        <v>116.878989305</v>
      </c>
    </row>
    <row r="23">
      <c r="A23" s="18" t="n">
        <v>40787</v>
      </c>
      <c r="B23" s="21" t="n">
        <v>117.5365515330309</v>
      </c>
      <c r="F23" s="18" t="n">
        <v>40756</v>
      </c>
      <c r="G23" t="n">
        <v>117.295005707</v>
      </c>
    </row>
    <row r="24">
      <c r="A24" s="18" t="n">
        <v>40817</v>
      </c>
      <c r="B24" s="21" t="n">
        <v>117.9244221530899</v>
      </c>
      <c r="F24" s="18" t="n">
        <v>40787</v>
      </c>
      <c r="G24" t="n">
        <v>118.217327016</v>
      </c>
    </row>
    <row r="25">
      <c r="A25" s="18" t="n">
        <v>40848</v>
      </c>
      <c r="B25" s="21" t="n">
        <v>118.4668744949941</v>
      </c>
      <c r="F25" s="18" t="n">
        <v>40817</v>
      </c>
      <c r="G25" t="n">
        <v>118.577218857</v>
      </c>
    </row>
    <row r="26">
      <c r="A26" s="18" t="n">
        <v>40878</v>
      </c>
      <c r="B26" s="21" t="n">
        <v>118.8459684933781</v>
      </c>
      <c r="F26" s="18" t="n">
        <v>40848</v>
      </c>
      <c r="G26" t="n">
        <v>119.028609131</v>
      </c>
    </row>
    <row r="27">
      <c r="A27" s="18" t="n">
        <v>40909</v>
      </c>
      <c r="B27" s="21" t="n">
        <v>119.2381601894062</v>
      </c>
      <c r="F27" s="18" t="n">
        <v>40878</v>
      </c>
      <c r="G27" t="n">
        <v>119.134118469</v>
      </c>
    </row>
    <row r="28">
      <c r="A28" s="18" t="n">
        <v>40940</v>
      </c>
      <c r="B28" s="21" t="n">
        <v>120.4543894233382</v>
      </c>
      <c r="F28" s="18" t="n">
        <v>40909</v>
      </c>
      <c r="G28" t="n">
        <v>119.162432073</v>
      </c>
    </row>
    <row r="29">
      <c r="A29" s="18" t="n">
        <v>40969</v>
      </c>
      <c r="B29" s="21" t="n">
        <v>121.2734792714169</v>
      </c>
      <c r="F29" s="18" t="n">
        <v>40940</v>
      </c>
      <c r="G29" t="n">
        <v>120.112799109</v>
      </c>
    </row>
    <row r="30">
      <c r="A30" s="18" t="n">
        <v>41000</v>
      </c>
      <c r="B30" s="21" t="n">
        <v>121.7828278843568</v>
      </c>
      <c r="F30" s="18" t="n">
        <v>40969</v>
      </c>
      <c r="G30" t="n">
        <v>120.725281427</v>
      </c>
    </row>
    <row r="31">
      <c r="A31" s="18" t="n">
        <v>41030</v>
      </c>
      <c r="B31" s="21" t="n">
        <v>123.3903612124303</v>
      </c>
      <c r="F31" s="18" t="n">
        <v>41000</v>
      </c>
      <c r="G31" t="n">
        <v>120.969106125</v>
      </c>
    </row>
    <row r="32">
      <c r="A32" s="18" t="n">
        <v>41061</v>
      </c>
      <c r="B32" s="21" t="n">
        <v>124.0690081990987</v>
      </c>
      <c r="F32" s="18" t="n">
        <v>41030</v>
      </c>
      <c r="G32" t="n">
        <v>122.561627257</v>
      </c>
    </row>
    <row r="33">
      <c r="A33" s="18" t="n">
        <v>41091</v>
      </c>
      <c r="B33" s="21" t="n">
        <v>126.0665192311042</v>
      </c>
      <c r="F33" s="18" t="n">
        <v>41061</v>
      </c>
      <c r="G33" t="n">
        <v>123.717458166</v>
      </c>
    </row>
    <row r="34">
      <c r="A34" s="18" t="n">
        <v>41122</v>
      </c>
      <c r="B34" s="21" t="n">
        <v>126.1673724464891</v>
      </c>
      <c r="F34" s="18" t="n">
        <v>41091</v>
      </c>
      <c r="G34" t="n">
        <v>126.106639663</v>
      </c>
    </row>
    <row r="35">
      <c r="A35" s="18" t="n">
        <v>41153</v>
      </c>
      <c r="B35" s="21" t="n">
        <v>126.6972754107644</v>
      </c>
      <c r="F35" s="18" t="n">
        <v>41122</v>
      </c>
      <c r="G35" t="n">
        <v>126.884724087</v>
      </c>
    </row>
    <row r="36">
      <c r="A36" s="18" t="n">
        <v>41183</v>
      </c>
      <c r="B36" s="21" t="n">
        <v>127.2800828776539</v>
      </c>
      <c r="F36" s="18" t="n">
        <v>41153</v>
      </c>
      <c r="G36" t="n">
        <v>127.431704885</v>
      </c>
    </row>
    <row r="37">
      <c r="A37" s="18" t="n">
        <v>41214</v>
      </c>
      <c r="B37" s="21" t="n">
        <v>128.1710434577975</v>
      </c>
      <c r="F37" s="18" t="n">
        <v>41183</v>
      </c>
      <c r="G37" t="n">
        <v>127.982547989</v>
      </c>
    </row>
    <row r="38">
      <c r="A38" s="18" t="n">
        <v>41244</v>
      </c>
      <c r="B38" s="21" t="n">
        <v>129.2476802228429</v>
      </c>
      <c r="F38" s="18" t="n">
        <v>41214</v>
      </c>
      <c r="G38" t="n">
        <v>128.775600273</v>
      </c>
    </row>
    <row r="39">
      <c r="A39" s="18" t="n">
        <v>41275</v>
      </c>
      <c r="B39" s="21" t="n">
        <v>130.204113056492</v>
      </c>
      <c r="F39" s="18" t="n">
        <v>41244</v>
      </c>
      <c r="G39" t="n">
        <v>129.558198788</v>
      </c>
    </row>
    <row r="40">
      <c r="A40" s="18" t="n">
        <v>41306</v>
      </c>
      <c r="B40" s="21" t="n">
        <v>130.8681540330801</v>
      </c>
      <c r="F40" s="18" t="n">
        <v>41275</v>
      </c>
      <c r="G40" t="n">
        <v>130.123623444</v>
      </c>
    </row>
    <row r="41">
      <c r="A41" s="18" t="n">
        <v>41334</v>
      </c>
      <c r="B41" s="21" t="n">
        <v>131.5224948032455</v>
      </c>
      <c r="F41" s="18" t="n">
        <v>41306</v>
      </c>
      <c r="G41" t="n">
        <v>130.50104938</v>
      </c>
    </row>
    <row r="42">
      <c r="A42" s="18" t="n">
        <v>41365</v>
      </c>
      <c r="B42" s="21" t="n">
        <v>133.1665259882861</v>
      </c>
      <c r="F42" s="18" t="n">
        <v>41334</v>
      </c>
      <c r="G42" t="n">
        <v>130.93228499</v>
      </c>
    </row>
    <row r="43">
      <c r="A43" s="18" t="n">
        <v>41395</v>
      </c>
      <c r="B43" s="21" t="n">
        <v>135.0841239625174</v>
      </c>
      <c r="F43" s="18" t="n">
        <v>41365</v>
      </c>
      <c r="G43" t="n">
        <v>132.276840865</v>
      </c>
    </row>
    <row r="44">
      <c r="A44" s="18" t="n">
        <v>41426</v>
      </c>
      <c r="B44" s="21" t="n">
        <v>135.2056996740836</v>
      </c>
      <c r="F44" s="18" t="n">
        <v>41395</v>
      </c>
      <c r="G44" t="n">
        <v>134.17747848</v>
      </c>
    </row>
    <row r="45">
      <c r="A45" s="18" t="n">
        <v>41456</v>
      </c>
      <c r="B45" s="21" t="n">
        <v>135.9898927321933</v>
      </c>
      <c r="F45" s="18" t="n">
        <v>41426</v>
      </c>
      <c r="G45" t="n">
        <v>134.821848865</v>
      </c>
    </row>
    <row r="46">
      <c r="A46" s="18" t="n">
        <v>41487</v>
      </c>
      <c r="B46" s="21" t="n">
        <v>135.473131139811</v>
      </c>
      <c r="F46" s="18" t="n">
        <v>41456</v>
      </c>
      <c r="G46" t="n">
        <v>136.031376227</v>
      </c>
    </row>
    <row r="47">
      <c r="A47" s="18" t="n">
        <v>41518</v>
      </c>
      <c r="B47" s="21" t="n">
        <v>135.7034354627487</v>
      </c>
      <c r="F47" s="18" t="n">
        <v>41487</v>
      </c>
      <c r="G47" t="n">
        <v>136.240801625</v>
      </c>
    </row>
    <row r="48">
      <c r="A48" s="18" t="n">
        <v>41548</v>
      </c>
      <c r="B48" s="21" t="n">
        <v>137.101180848015</v>
      </c>
      <c r="F48" s="18" t="n">
        <v>41518</v>
      </c>
      <c r="G48" t="n">
        <v>136.492918632</v>
      </c>
    </row>
    <row r="49">
      <c r="A49" s="18" t="n">
        <v>41579</v>
      </c>
      <c r="B49" s="21" t="n">
        <v>137.9649182873575</v>
      </c>
      <c r="F49" s="18" t="n">
        <v>41548</v>
      </c>
      <c r="G49" t="n">
        <v>137.857033126</v>
      </c>
    </row>
    <row r="50">
      <c r="A50" s="18" t="n">
        <v>41609</v>
      </c>
      <c r="B50" s="21" t="n">
        <v>138.930672715369</v>
      </c>
      <c r="F50" s="18" t="n">
        <v>41579</v>
      </c>
      <c r="G50" t="n">
        <v>138.613268983</v>
      </c>
    </row>
    <row r="51">
      <c r="A51" s="18" t="n">
        <v>41640</v>
      </c>
      <c r="B51" s="21" t="n">
        <v>139.1529617917136</v>
      </c>
      <c r="F51" s="18" t="n">
        <v>41609</v>
      </c>
      <c r="G51" t="n">
        <v>139.261985512</v>
      </c>
    </row>
    <row r="52">
      <c r="A52" s="18" t="n">
        <v>41671</v>
      </c>
      <c r="B52" s="21" t="n">
        <v>140.0157101548222</v>
      </c>
      <c r="F52" s="18" t="n">
        <v>41640</v>
      </c>
      <c r="G52" t="n">
        <v>139.068289932</v>
      </c>
    </row>
    <row r="53">
      <c r="A53" s="18" t="n">
        <v>41699</v>
      </c>
      <c r="B53" s="21" t="n">
        <v>141.3598609723085</v>
      </c>
      <c r="F53" s="18" t="n">
        <v>41671</v>
      </c>
      <c r="G53" t="n">
        <v>139.625057252</v>
      </c>
    </row>
    <row r="54">
      <c r="A54" s="18" t="n">
        <v>41730</v>
      </c>
      <c r="B54" s="21" t="n">
        <v>142.250428096434</v>
      </c>
      <c r="F54" s="18" t="n">
        <v>41699</v>
      </c>
      <c r="G54" t="n">
        <v>140.727075409</v>
      </c>
    </row>
    <row r="55">
      <c r="A55" s="18" t="n">
        <v>41760</v>
      </c>
      <c r="B55" s="21" t="n">
        <v>143.1750558790609</v>
      </c>
      <c r="F55" s="18" t="n">
        <v>41730</v>
      </c>
      <c r="G55" t="n">
        <v>141.297960054</v>
      </c>
    </row>
    <row r="56">
      <c r="A56" s="18" t="n">
        <v>41791</v>
      </c>
      <c r="B56" s="21" t="n">
        <v>143.1893733846488</v>
      </c>
      <c r="F56" s="18" t="n">
        <v>41760</v>
      </c>
      <c r="G56" t="n">
        <v>142.215804701</v>
      </c>
    </row>
    <row r="57">
      <c r="A57" s="18" t="n">
        <v>41821</v>
      </c>
      <c r="B57" s="21" t="n">
        <v>143.1607355099719</v>
      </c>
      <c r="F57" s="18" t="n">
        <v>41791</v>
      </c>
      <c r="G57" t="n">
        <v>142.782912165</v>
      </c>
    </row>
    <row r="58">
      <c r="A58" s="18" t="n">
        <v>41852</v>
      </c>
      <c r="B58" s="21" t="n">
        <v>143.7620105991138</v>
      </c>
      <c r="F58" s="18" t="n">
        <v>41821</v>
      </c>
      <c r="G58" t="n">
        <v>143.204830203</v>
      </c>
    </row>
    <row r="59">
      <c r="A59" s="18" t="n">
        <v>41883</v>
      </c>
      <c r="B59" s="21" t="n">
        <v>145.5159071284229</v>
      </c>
      <c r="F59" s="18" t="n">
        <v>41852</v>
      </c>
      <c r="G59" t="n">
        <v>144.574928202</v>
      </c>
    </row>
    <row r="60">
      <c r="A60" s="18" t="n">
        <v>41913</v>
      </c>
      <c r="B60" s="21" t="n">
        <v>146.3890025711935</v>
      </c>
      <c r="F60" s="18" t="n">
        <v>41883</v>
      </c>
      <c r="G60" t="n">
        <v>146.365761727</v>
      </c>
    </row>
    <row r="61">
      <c r="A61" s="18" t="n">
        <v>41944</v>
      </c>
      <c r="B61" s="21" t="n">
        <v>147.8236147963912</v>
      </c>
      <c r="F61" s="18" t="n">
        <v>41913</v>
      </c>
      <c r="G61" t="n">
        <v>147.196578356</v>
      </c>
    </row>
    <row r="62">
      <c r="A62" s="18" t="n">
        <v>41974</v>
      </c>
      <c r="B62" s="21" t="n">
        <v>150.6913929234412</v>
      </c>
      <c r="F62" s="18" t="n">
        <v>41944</v>
      </c>
      <c r="G62" t="n">
        <v>148.5174853</v>
      </c>
    </row>
    <row r="63">
      <c r="A63" s="18" t="n">
        <v>42005</v>
      </c>
      <c r="B63" s="21" t="n">
        <v>156.8848091725946</v>
      </c>
      <c r="F63" s="18" t="n">
        <v>41974</v>
      </c>
      <c r="G63" t="n">
        <v>151.050047526</v>
      </c>
    </row>
    <row r="64">
      <c r="A64" s="18" t="n">
        <v>42036</v>
      </c>
      <c r="B64" s="21" t="n">
        <v>161.6070419286897</v>
      </c>
      <c r="F64" s="18" t="n">
        <v>42005</v>
      </c>
      <c r="G64" t="n">
        <v>156.790459488</v>
      </c>
    </row>
    <row r="65">
      <c r="A65" s="18" t="n">
        <v>42064</v>
      </c>
      <c r="B65" s="21" t="n">
        <v>164.7098971337205</v>
      </c>
      <c r="F65" s="18" t="n">
        <v>42036</v>
      </c>
      <c r="G65" t="n">
        <v>161.157349449</v>
      </c>
    </row>
    <row r="66">
      <c r="A66" s="18" t="n">
        <v>42095</v>
      </c>
      <c r="B66" s="21" t="n">
        <v>166.7522998581787</v>
      </c>
      <c r="F66" s="18" t="n">
        <v>42064</v>
      </c>
      <c r="G66" t="n">
        <v>163.974323236</v>
      </c>
    </row>
    <row r="67">
      <c r="A67" s="18" t="n">
        <v>42125</v>
      </c>
      <c r="B67" s="21" t="n">
        <v>167.369283367654</v>
      </c>
      <c r="F67" s="18" t="n">
        <v>42095</v>
      </c>
      <c r="G67" t="n">
        <v>165.632886432</v>
      </c>
    </row>
    <row r="68">
      <c r="A68" s="18" t="n">
        <v>42156</v>
      </c>
      <c r="B68" s="21" t="n">
        <v>166.9006493742245</v>
      </c>
      <c r="F68" s="18" t="n">
        <v>42125</v>
      </c>
      <c r="G68" t="n">
        <v>166.24977074</v>
      </c>
    </row>
    <row r="69">
      <c r="A69" s="18" t="n">
        <v>42186</v>
      </c>
      <c r="B69" s="21" t="n">
        <v>167.4514215171595</v>
      </c>
      <c r="F69" s="18" t="n">
        <v>42156</v>
      </c>
      <c r="G69" t="n">
        <v>166.424901577</v>
      </c>
    </row>
    <row r="70">
      <c r="A70" s="18" t="n">
        <v>42217</v>
      </c>
      <c r="B70" s="21" t="n">
        <v>168.188207771835</v>
      </c>
      <c r="F70" s="18" t="n">
        <v>42186</v>
      </c>
      <c r="G70" t="n">
        <v>167.500131963</v>
      </c>
    </row>
    <row r="71">
      <c r="A71" s="18" t="n">
        <v>42248</v>
      </c>
      <c r="B71" s="21" t="n">
        <v>169.8700898495533</v>
      </c>
      <c r="F71" s="18" t="n">
        <v>42217</v>
      </c>
      <c r="G71" t="n">
        <v>169.134391773</v>
      </c>
    </row>
    <row r="72">
      <c r="A72" s="18" t="n">
        <v>42278</v>
      </c>
      <c r="B72" s="21" t="n">
        <v>172.0953880265825</v>
      </c>
      <c r="F72" s="18" t="n">
        <v>42248</v>
      </c>
      <c r="G72" t="n">
        <v>170.864458114</v>
      </c>
    </row>
    <row r="73">
      <c r="A73" s="18" t="n">
        <v>42309</v>
      </c>
      <c r="B73" s="21" t="n">
        <v>172.6460932682675</v>
      </c>
      <c r="F73" s="18" t="n">
        <v>42278</v>
      </c>
      <c r="G73" t="n">
        <v>173.043692039</v>
      </c>
    </row>
    <row r="74">
      <c r="A74" s="18" t="n">
        <v>42339</v>
      </c>
      <c r="B74" s="21" t="n">
        <v>173.7164990465308</v>
      </c>
      <c r="F74" s="18" t="n">
        <v>42309</v>
      </c>
      <c r="G74" t="n">
        <v>173.453426758</v>
      </c>
    </row>
    <row r="75">
      <c r="A75" s="18" t="n">
        <v>42370</v>
      </c>
      <c r="B75" s="21" t="n">
        <v>175.0888593889984</v>
      </c>
      <c r="F75" s="18" t="n">
        <v>42339</v>
      </c>
      <c r="G75" t="n">
        <v>174.130015854</v>
      </c>
    </row>
    <row r="76">
      <c r="A76" s="18" t="n">
        <v>42401</v>
      </c>
      <c r="B76" s="21" t="n">
        <v>176.1744103172102</v>
      </c>
      <c r="F76" s="18" t="n">
        <v>42370</v>
      </c>
      <c r="G76" t="n">
        <v>174.985384691</v>
      </c>
    </row>
    <row r="77">
      <c r="A77" s="18" t="n">
        <v>42430</v>
      </c>
      <c r="B77" s="21" t="n">
        <v>176.6148463430032</v>
      </c>
      <c r="F77" s="18" t="n">
        <v>42401</v>
      </c>
      <c r="G77" t="n">
        <v>175.686338849</v>
      </c>
    </row>
    <row r="78">
      <c r="A78" s="18" t="n">
        <v>42461</v>
      </c>
      <c r="B78" s="21" t="n">
        <v>178.539948168142</v>
      </c>
      <c r="F78" s="18" t="n">
        <v>42430</v>
      </c>
      <c r="G78" t="n">
        <v>175.831734947</v>
      </c>
    </row>
    <row r="79">
      <c r="A79" s="18" t="n">
        <v>42491</v>
      </c>
      <c r="B79" s="21" t="n">
        <v>178.9148820592951</v>
      </c>
      <c r="F79" s="18" t="n">
        <v>42461</v>
      </c>
      <c r="G79" t="n">
        <v>177.342878356</v>
      </c>
    </row>
    <row r="80">
      <c r="A80" s="18" t="n">
        <v>42522</v>
      </c>
      <c r="B80" s="21" t="n">
        <v>179.3442777762374</v>
      </c>
      <c r="F80" s="18" t="n">
        <v>42491</v>
      </c>
      <c r="G80" t="n">
        <v>177.72210771</v>
      </c>
    </row>
    <row r="81">
      <c r="A81" s="18" t="n">
        <v>42552</v>
      </c>
      <c r="B81" s="21" t="n">
        <v>180.4382778706724</v>
      </c>
      <c r="F81" s="18" t="n">
        <v>42522</v>
      </c>
      <c r="G81" t="n">
        <v>178.829721077</v>
      </c>
    </row>
    <row r="82">
      <c r="A82" s="18" t="n">
        <v>42583</v>
      </c>
      <c r="B82" s="21" t="n">
        <v>180.600672320756</v>
      </c>
      <c r="F82" s="18" t="n">
        <v>42552</v>
      </c>
      <c r="G82" t="n">
        <v>180.485556096</v>
      </c>
    </row>
    <row r="83">
      <c r="A83" s="18" t="n">
        <v>42614</v>
      </c>
      <c r="B83" s="21" t="n">
        <v>180.365891446739</v>
      </c>
      <c r="F83" s="18" t="n">
        <v>42583</v>
      </c>
      <c r="G83" t="n">
        <v>181.610502891</v>
      </c>
    </row>
    <row r="84">
      <c r="A84" s="18" t="n">
        <v>42644</v>
      </c>
      <c r="B84" s="21" t="n">
        <v>181.4480867954194</v>
      </c>
      <c r="F84" s="18" t="n">
        <v>42614</v>
      </c>
      <c r="G84" t="n">
        <v>181.424497674</v>
      </c>
    </row>
    <row r="85">
      <c r="A85" s="18" t="n">
        <v>42675</v>
      </c>
      <c r="B85" s="21" t="n">
        <v>181.9742862471262</v>
      </c>
      <c r="F85" s="18" t="n">
        <v>42644</v>
      </c>
      <c r="G85" t="n">
        <v>182.449469654</v>
      </c>
    </row>
    <row r="86">
      <c r="A86" s="18" t="n">
        <v>42705</v>
      </c>
      <c r="B86" s="21" t="n">
        <v>184.394544254213</v>
      </c>
      <c r="F86" s="18" t="n">
        <v>42675</v>
      </c>
      <c r="G86" t="n">
        <v>182.82276539</v>
      </c>
    </row>
    <row r="87">
      <c r="A87" s="18" t="n">
        <v>42736</v>
      </c>
      <c r="B87" s="21" t="n">
        <v>185.2611986122078</v>
      </c>
      <c r="F87" s="18" t="n">
        <v>42705</v>
      </c>
      <c r="G87" t="n">
        <v>184.834548093</v>
      </c>
    </row>
    <row r="88">
      <c r="A88" s="18" t="n">
        <v>42767</v>
      </c>
      <c r="B88" s="21" t="n">
        <v>185.8725605676281</v>
      </c>
      <c r="F88" s="18" t="n">
        <v>42736</v>
      </c>
      <c r="G88" t="n">
        <v>185.153894081</v>
      </c>
    </row>
    <row r="89">
      <c r="A89" s="18" t="n">
        <v>42795</v>
      </c>
      <c r="B89" s="21" t="n">
        <v>186.2443056887633</v>
      </c>
      <c r="F89" s="18" t="n">
        <v>42767</v>
      </c>
      <c r="G89" t="n">
        <v>185.3591934</v>
      </c>
    </row>
    <row r="90">
      <c r="A90" s="18" t="n">
        <v>42826</v>
      </c>
      <c r="B90" s="21" t="n">
        <v>187.6783868425668</v>
      </c>
      <c r="F90" s="18" t="n">
        <v>42795</v>
      </c>
      <c r="G90" t="n">
        <v>185.422516036</v>
      </c>
    </row>
    <row r="91">
      <c r="A91" s="18" t="n">
        <v>42856</v>
      </c>
      <c r="B91" s="21" t="n">
        <v>188.5417074220426</v>
      </c>
      <c r="F91" s="18" t="n">
        <v>42826</v>
      </c>
      <c r="G91" t="n">
        <v>186.421062105</v>
      </c>
    </row>
    <row r="92">
      <c r="A92" s="18" t="n">
        <v>42887</v>
      </c>
      <c r="B92" s="21" t="n">
        <v>189.6352493250905</v>
      </c>
      <c r="F92" s="18" t="n">
        <v>42856</v>
      </c>
      <c r="G92" t="n">
        <v>187.287159725</v>
      </c>
    </row>
    <row r="93">
      <c r="A93" s="18" t="n">
        <v>42917</v>
      </c>
      <c r="B93" s="21" t="n">
        <v>188.72500012833</v>
      </c>
      <c r="F93" s="18" t="n">
        <v>42887</v>
      </c>
      <c r="G93" t="n">
        <v>189.086626456</v>
      </c>
    </row>
    <row r="94">
      <c r="A94" s="18" t="n">
        <v>42948</v>
      </c>
      <c r="B94" s="21" t="n">
        <v>187.7625026276755</v>
      </c>
      <c r="F94" s="18" t="n">
        <v>42917</v>
      </c>
      <c r="G94" t="n">
        <v>188.769593782</v>
      </c>
    </row>
    <row r="95">
      <c r="A95" s="18" t="n">
        <v>42979</v>
      </c>
      <c r="B95" s="21" t="n">
        <v>187.4996351239968</v>
      </c>
      <c r="F95" s="18" t="n">
        <v>42948</v>
      </c>
      <c r="G95" t="n">
        <v>188.807331843</v>
      </c>
    </row>
    <row r="96">
      <c r="A96" s="18" t="n">
        <v>43009</v>
      </c>
      <c r="B96" s="21" t="n">
        <v>187.7996345401951</v>
      </c>
      <c r="F96" s="18" t="n">
        <v>42979</v>
      </c>
      <c r="G96" t="n">
        <v>188.602125163</v>
      </c>
    </row>
    <row r="97">
      <c r="A97" s="18" t="n">
        <v>43040</v>
      </c>
      <c r="B97" s="21" t="n">
        <v>188.1376738823675</v>
      </c>
      <c r="F97" s="18" t="n">
        <v>43009</v>
      </c>
      <c r="G97" t="n">
        <v>188.837501241</v>
      </c>
    </row>
    <row r="98">
      <c r="A98" s="18" t="n">
        <v>43070</v>
      </c>
      <c r="B98" s="21" t="n">
        <v>188.9654796474499</v>
      </c>
      <c r="F98" s="18" t="n">
        <v>43040</v>
      </c>
      <c r="G98" t="n">
        <v>189.011244042</v>
      </c>
    </row>
    <row r="99">
      <c r="A99" s="18" t="n">
        <v>43101</v>
      </c>
      <c r="B99" s="21" t="n">
        <v>188.9087900035557</v>
      </c>
      <c r="F99" s="18" t="n">
        <v>43070</v>
      </c>
      <c r="G99" t="n">
        <v>189.419221886</v>
      </c>
    </row>
    <row r="100">
      <c r="A100" s="18" t="n">
        <v>43132</v>
      </c>
      <c r="B100" s="21" t="n">
        <v>189.5510798895677</v>
      </c>
      <c r="F100" s="18" t="n">
        <v>43101</v>
      </c>
      <c r="G100" t="n">
        <v>188.802286571</v>
      </c>
    </row>
    <row r="101">
      <c r="A101" s="18" t="n">
        <v>43160</v>
      </c>
      <c r="B101" s="21" t="n">
        <v>189.7027207534794</v>
      </c>
      <c r="F101" s="18" t="n">
        <v>43132</v>
      </c>
      <c r="G101" t="n">
        <v>189.028691621</v>
      </c>
    </row>
    <row r="102">
      <c r="A102" s="18" t="n">
        <v>43191</v>
      </c>
      <c r="B102" s="21" t="n">
        <v>190.6512343572468</v>
      </c>
      <c r="F102" s="18" t="n">
        <v>43160</v>
      </c>
      <c r="G102" t="n">
        <v>188.867428386</v>
      </c>
    </row>
    <row r="103">
      <c r="A103" s="18" t="n">
        <v>43221</v>
      </c>
      <c r="B103" s="21" t="n">
        <v>190.8228204681683</v>
      </c>
      <c r="F103" s="18" t="n">
        <v>43191</v>
      </c>
      <c r="G103" t="n">
        <v>189.374286735</v>
      </c>
    </row>
    <row r="104">
      <c r="A104" s="18" t="n">
        <v>43252</v>
      </c>
      <c r="B104" s="21" t="n">
        <v>192.0440865191646</v>
      </c>
      <c r="F104" s="18" t="n">
        <v>43221</v>
      </c>
      <c r="G104" t="n">
        <v>189.55549331</v>
      </c>
    </row>
    <row r="105">
      <c r="A105" s="18" t="n">
        <v>43282</v>
      </c>
      <c r="B105" s="21" t="n">
        <v>192.2745394229876</v>
      </c>
      <c r="F105" s="18" t="n">
        <v>43252</v>
      </c>
      <c r="G105" t="n">
        <v>191.487675805</v>
      </c>
    </row>
    <row r="106">
      <c r="A106" s="18" t="n">
        <v>43313</v>
      </c>
      <c r="B106" s="21" t="n">
        <v>192.1784021532761</v>
      </c>
      <c r="F106" s="18" t="n">
        <v>43282</v>
      </c>
      <c r="G106" t="n">
        <v>192.31777286</v>
      </c>
    </row>
    <row r="107">
      <c r="A107" s="18" t="n">
        <v>43344</v>
      </c>
      <c r="B107" s="21" t="n">
        <v>191.6018669468163</v>
      </c>
      <c r="F107" s="18" t="n">
        <v>43313</v>
      </c>
      <c r="G107" t="n">
        <v>193.244899887</v>
      </c>
    </row>
    <row r="108">
      <c r="A108" s="18" t="n">
        <v>43374</v>
      </c>
      <c r="B108" s="21" t="n">
        <v>191.7743086270684</v>
      </c>
      <c r="F108" s="18" t="n">
        <v>43344</v>
      </c>
      <c r="G108" t="n">
        <v>192.730641152</v>
      </c>
    </row>
    <row r="109">
      <c r="A109" s="18" t="n">
        <v>43405</v>
      </c>
      <c r="B109" s="21" t="n">
        <v>193.4427451121239</v>
      </c>
      <c r="F109" s="18" t="n">
        <v>43374</v>
      </c>
      <c r="G109" t="n">
        <v>192.835673033</v>
      </c>
    </row>
    <row r="110">
      <c r="A110" s="18" t="n">
        <v>43435</v>
      </c>
      <c r="B110" s="21" t="n">
        <v>195.5319267593349</v>
      </c>
      <c r="F110" s="18" t="n">
        <v>43405</v>
      </c>
      <c r="G110" t="n">
        <v>194.337143852</v>
      </c>
    </row>
    <row r="111">
      <c r="A111" s="18" t="n">
        <v>43466</v>
      </c>
      <c r="B111" s="21" t="n">
        <v>197.7609907243913</v>
      </c>
      <c r="F111" s="18" t="n">
        <v>43435</v>
      </c>
      <c r="G111" t="n">
        <v>196.005444534</v>
      </c>
    </row>
    <row r="112">
      <c r="A112" s="18" t="n">
        <v>43497</v>
      </c>
      <c r="B112" s="21" t="n">
        <v>199.1650937585344</v>
      </c>
      <c r="F112" s="18" t="n">
        <v>43466</v>
      </c>
      <c r="G112" t="n">
        <v>197.651694481</v>
      </c>
    </row>
    <row r="113">
      <c r="A113" s="18" t="n">
        <v>43525</v>
      </c>
      <c r="B113" s="21" t="n">
        <v>200.2605017742063</v>
      </c>
      <c r="F113" s="18" t="n">
        <v>43497</v>
      </c>
      <c r="G113" t="n">
        <v>198.61597389</v>
      </c>
    </row>
    <row r="114">
      <c r="A114" s="18" t="n">
        <v>43556</v>
      </c>
      <c r="B114" s="21" t="n">
        <v>201.4420387346742</v>
      </c>
      <c r="F114" s="18" t="n">
        <v>43525</v>
      </c>
      <c r="G114" t="n">
        <v>199.377808592</v>
      </c>
    </row>
    <row r="115">
      <c r="A115" s="18" t="n">
        <v>43586</v>
      </c>
      <c r="B115" s="21" t="n">
        <v>202.5096815399679</v>
      </c>
      <c r="F115" s="18" t="n">
        <v>43556</v>
      </c>
      <c r="G115" t="n">
        <v>200.09048576</v>
      </c>
    </row>
    <row r="116">
      <c r="A116" s="18" t="n">
        <v>43617</v>
      </c>
      <c r="B116" s="21" t="n">
        <v>201.6793918456541</v>
      </c>
      <c r="F116" s="18" t="n">
        <v>43586</v>
      </c>
      <c r="G116" t="n">
        <v>201.164532805</v>
      </c>
    </row>
    <row r="117">
      <c r="A117" s="18" t="n">
        <v>43647</v>
      </c>
      <c r="B117" s="21" t="n">
        <v>201.5180483321775</v>
      </c>
      <c r="F117" s="18" t="n">
        <v>43617</v>
      </c>
      <c r="G117" t="n">
        <v>201.094934446</v>
      </c>
    </row>
    <row r="118">
      <c r="A118" s="18" t="n">
        <v>43678</v>
      </c>
      <c r="B118" s="21" t="n">
        <v>201.1754676500128</v>
      </c>
      <c r="F118" s="18" t="n">
        <v>43647</v>
      </c>
      <c r="G118" t="n">
        <v>201.562235278</v>
      </c>
    </row>
    <row r="119">
      <c r="A119" s="18" t="n">
        <v>43709</v>
      </c>
      <c r="B119" s="21" t="n">
        <v>200.5317061535328</v>
      </c>
      <c r="F119" s="18" t="n">
        <v>43678</v>
      </c>
      <c r="G119" t="n">
        <v>202.290515509</v>
      </c>
    </row>
    <row r="120">
      <c r="A120" s="18" t="n">
        <v>43739</v>
      </c>
      <c r="B120" s="21" t="n">
        <v>201.1333012719934</v>
      </c>
      <c r="F120" s="18" t="n">
        <v>43709</v>
      </c>
      <c r="G120" t="n">
        <v>201.713203639</v>
      </c>
    </row>
    <row r="121">
      <c r="A121" s="18" t="n">
        <v>43770</v>
      </c>
      <c r="B121" s="21" t="n">
        <v>201.9177211469542</v>
      </c>
      <c r="F121" s="18" t="n">
        <v>43739</v>
      </c>
      <c r="G121" t="n">
        <v>202.244352687</v>
      </c>
    </row>
    <row r="122">
      <c r="A122" s="18" t="n">
        <v>43800</v>
      </c>
      <c r="B122" s="21" t="n">
        <v>202.7455838036567</v>
      </c>
      <c r="F122" s="18" t="n">
        <v>43770</v>
      </c>
      <c r="G122" t="n">
        <v>202.845139973</v>
      </c>
    </row>
    <row r="123">
      <c r="A123" s="18" t="n">
        <v>43831</v>
      </c>
      <c r="B123" s="21" t="n">
        <v>203.759311722675</v>
      </c>
      <c r="F123" s="18" t="n">
        <v>43800</v>
      </c>
      <c r="G123" t="n">
        <v>203.240945994</v>
      </c>
    </row>
    <row r="124">
      <c r="A124" s="18" t="n">
        <v>43862</v>
      </c>
      <c r="B124" s="21" t="n">
        <v>204.5743489695657</v>
      </c>
      <c r="F124" s="18" t="n">
        <v>43831</v>
      </c>
      <c r="G124" t="n">
        <v>203.650660078</v>
      </c>
    </row>
    <row r="125">
      <c r="A125" s="18" t="n">
        <v>43891</v>
      </c>
      <c r="B125" s="21" t="n">
        <v>205.9449971076618</v>
      </c>
      <c r="F125" s="18" t="n">
        <v>43862</v>
      </c>
      <c r="G125" t="n">
        <v>204.012297464</v>
      </c>
    </row>
    <row r="126">
      <c r="A126" s="18" t="n">
        <v>43922</v>
      </c>
      <c r="B126" s="21" t="n">
        <v>208.6222820700615</v>
      </c>
      <c r="F126" s="18" t="n">
        <v>43891</v>
      </c>
      <c r="G126" t="n">
        <v>205.038110072</v>
      </c>
    </row>
    <row r="127">
      <c r="A127" s="18" t="n">
        <v>43952</v>
      </c>
      <c r="B127" s="21" t="n">
        <v>208.8726288085456</v>
      </c>
      <c r="F127" s="18" t="n">
        <v>43922</v>
      </c>
      <c r="G127" t="n">
        <v>207.222946319</v>
      </c>
    </row>
    <row r="128">
      <c r="A128" s="18" t="n">
        <v>43983</v>
      </c>
      <c r="B128" s="21" t="n">
        <v>208.8935160714264</v>
      </c>
      <c r="F128" s="18" t="n">
        <v>43952</v>
      </c>
      <c r="G128" t="n">
        <v>207.487681802</v>
      </c>
    </row>
    <row r="129">
      <c r="A129" s="18" t="n">
        <v>44013</v>
      </c>
      <c r="B129" s="21" t="n">
        <v>208.5801757973193</v>
      </c>
      <c r="F129" s="18" t="n">
        <v>43983</v>
      </c>
      <c r="G129" t="n">
        <v>208.290052088</v>
      </c>
    </row>
    <row r="130">
      <c r="A130" s="18" t="n">
        <v>44044</v>
      </c>
      <c r="B130" s="21" t="n">
        <v>208.8096139906963</v>
      </c>
      <c r="F130" s="18" t="n">
        <v>44013</v>
      </c>
      <c r="G130" t="n">
        <v>208.625850755</v>
      </c>
    </row>
    <row r="131">
      <c r="A131" s="18" t="n">
        <v>44075</v>
      </c>
      <c r="B131" s="21" t="n">
        <v>209.0810664888842</v>
      </c>
      <c r="F131" s="18" t="n">
        <v>44044</v>
      </c>
      <c r="G131" t="n">
        <v>209.967354738</v>
      </c>
    </row>
    <row r="132">
      <c r="A132" s="18" t="n">
        <v>44105</v>
      </c>
      <c r="B132" s="21" t="n">
        <v>210.1264718213286</v>
      </c>
      <c r="F132" s="18" t="n">
        <v>44075</v>
      </c>
      <c r="G132" t="n">
        <v>210.311395173</v>
      </c>
    </row>
    <row r="133">
      <c r="A133" s="18" t="n">
        <v>44136</v>
      </c>
      <c r="B133" s="21" t="n">
        <v>211.765458301535</v>
      </c>
      <c r="F133" s="18" t="n">
        <v>44105</v>
      </c>
      <c r="G133" t="n">
        <v>211.282835168</v>
      </c>
    </row>
    <row r="134">
      <c r="A134" s="18" t="n">
        <v>44166</v>
      </c>
      <c r="B134" s="21" t="n">
        <v>213.6713474262488</v>
      </c>
      <c r="F134" s="18" t="n">
        <v>44136</v>
      </c>
      <c r="G134" t="n">
        <v>212.730096611</v>
      </c>
    </row>
    <row r="135">
      <c r="A135" s="18" t="n">
        <v>44197</v>
      </c>
      <c r="B135" s="21" t="n">
        <v>214.9533755108063</v>
      </c>
      <c r="F135" s="18" t="n">
        <v>44166</v>
      </c>
      <c r="G135" t="n">
        <v>214.196530824</v>
      </c>
    </row>
    <row r="136">
      <c r="A136" s="18" t="n">
        <v>44228</v>
      </c>
      <c r="B136" s="21" t="n">
        <v>217.1673952785676</v>
      </c>
      <c r="F136" s="18" t="n">
        <v>44197</v>
      </c>
      <c r="G136" t="n">
        <v>214.841000862</v>
      </c>
    </row>
    <row r="137">
      <c r="A137" s="18" t="n">
        <v>44256</v>
      </c>
      <c r="B137" s="21" t="n">
        <v>220.0122881567169</v>
      </c>
      <c r="F137" s="18" t="n">
        <v>44228</v>
      </c>
      <c r="G137" t="n">
        <v>216.570480417</v>
      </c>
    </row>
    <row r="138">
      <c r="A138" s="18" t="n">
        <v>44287</v>
      </c>
      <c r="B138" s="21" t="n">
        <v>221.9043938348646</v>
      </c>
      <c r="F138" s="18" t="n">
        <v>44256</v>
      </c>
      <c r="G138" t="n">
        <v>219.043704795</v>
      </c>
    </row>
    <row r="139">
      <c r="A139" s="18" t="n">
        <v>44317</v>
      </c>
      <c r="B139" s="21" t="n">
        <v>222.8142018495876</v>
      </c>
      <c r="F139" s="18" t="n">
        <v>44287</v>
      </c>
      <c r="G139" t="n">
        <v>220.418997879</v>
      </c>
    </row>
    <row r="140">
      <c r="A140" s="18" t="n">
        <v>44348</v>
      </c>
      <c r="B140" s="21" t="n">
        <v>224.0619613799453</v>
      </c>
      <c r="F140" s="18" t="n">
        <v>44317</v>
      </c>
      <c r="G140" t="n">
        <v>221.341296845</v>
      </c>
    </row>
    <row r="141">
      <c r="A141" s="18" t="n">
        <v>44378</v>
      </c>
      <c r="B141" s="21" t="n">
        <v>224.5548976949812</v>
      </c>
      <c r="F141" s="18" t="n">
        <v>44348</v>
      </c>
      <c r="G141" t="n">
        <v>223.418086527</v>
      </c>
    </row>
    <row r="142">
      <c r="A142" s="18" t="n">
        <v>44409</v>
      </c>
      <c r="B142" s="21" t="n">
        <v>224.9141855312931</v>
      </c>
      <c r="F142" s="18" t="n">
        <v>44378</v>
      </c>
      <c r="G142" t="n">
        <v>224.603986401</v>
      </c>
    </row>
    <row r="143">
      <c r="A143" s="18" t="n">
        <v>44440</v>
      </c>
      <c r="B143" s="21" t="n">
        <v>226.5560590856716</v>
      </c>
      <c r="F143" s="18" t="n">
        <v>44409</v>
      </c>
      <c r="G143" t="n">
        <v>226.162436293</v>
      </c>
    </row>
    <row r="144">
      <c r="A144" s="18" t="n">
        <v>44470</v>
      </c>
      <c r="B144" s="21" t="n">
        <v>228.6403748292598</v>
      </c>
      <c r="F144" s="18" t="n">
        <v>44440</v>
      </c>
      <c r="G144" t="n">
        <v>227.886207482</v>
      </c>
    </row>
    <row r="145">
      <c r="A145" s="18" t="n">
        <v>44501</v>
      </c>
      <c r="B145" s="21" t="n">
        <v>230.6066820527914</v>
      </c>
      <c r="F145" s="18" t="n">
        <v>44470</v>
      </c>
      <c r="G145" t="n">
        <v>229.892262084</v>
      </c>
    </row>
    <row r="146">
      <c r="A146" s="18" t="n">
        <v>44531</v>
      </c>
      <c r="B146" s="21" t="n">
        <v>231.0909560851022</v>
      </c>
      <c r="F146" s="18" t="n">
        <v>44501</v>
      </c>
      <c r="G146" t="n">
        <v>231.647788729</v>
      </c>
    </row>
    <row r="147">
      <c r="A147" s="18" t="n">
        <v>44562</v>
      </c>
      <c r="B147" s="21" t="n">
        <v>233.9102657493405</v>
      </c>
      <c r="F147" s="18" t="n">
        <v>44531</v>
      </c>
      <c r="G147" t="n">
        <v>231.661178382</v>
      </c>
    </row>
    <row r="148">
      <c r="A148" s="18" t="n">
        <v>44593</v>
      </c>
      <c r="B148" s="21" t="n">
        <v>236.1090222473843</v>
      </c>
      <c r="F148" s="18" t="n">
        <v>44562</v>
      </c>
      <c r="G148" t="n">
        <v>233.788135964</v>
      </c>
    </row>
    <row r="149">
      <c r="A149" s="18" t="n">
        <v>44621</v>
      </c>
      <c r="B149" s="21" t="n">
        <v>249.2130729821141</v>
      </c>
      <c r="F149" s="18" t="n">
        <v>44593</v>
      </c>
      <c r="G149" t="n">
        <v>235.45818818</v>
      </c>
    </row>
    <row r="150">
      <c r="A150" s="18" t="n">
        <v>44652</v>
      </c>
      <c r="B150" s="21" t="n">
        <v>257.3872617759275</v>
      </c>
      <c r="F150" s="18" t="n">
        <v>44621</v>
      </c>
      <c r="G150" t="n">
        <v>248.117368205</v>
      </c>
    </row>
    <row r="151">
      <c r="A151" s="18" t="n">
        <v>44682</v>
      </c>
      <c r="B151" s="21" t="n">
        <v>259.1374951560038</v>
      </c>
      <c r="F151" s="18" t="n">
        <v>44652</v>
      </c>
      <c r="G151" t="n">
        <v>255.669728488</v>
      </c>
    </row>
    <row r="152">
      <c r="A152" s="18" t="n">
        <v>44713</v>
      </c>
      <c r="B152" s="21" t="n">
        <v>257.375360188943</v>
      </c>
      <c r="F152" s="18" t="n">
        <v>44682</v>
      </c>
      <c r="G152" t="n">
        <v>257.430502535</v>
      </c>
    </row>
    <row r="153">
      <c r="A153" s="18" t="n">
        <v>44743</v>
      </c>
      <c r="B153" s="21" t="n">
        <v>255.3935699154881</v>
      </c>
      <c r="F153" s="18" t="n">
        <v>44713</v>
      </c>
      <c r="G153" t="n">
        <v>256.641177691</v>
      </c>
    </row>
    <row r="154">
      <c r="A154" s="18" t="n">
        <v>44774</v>
      </c>
      <c r="B154" s="21" t="n">
        <v>253.9378265669698</v>
      </c>
      <c r="F154" s="18" t="n">
        <v>44743</v>
      </c>
      <c r="G154" t="n">
        <v>255.448956003</v>
      </c>
    </row>
    <row r="155">
      <c r="A155" s="18" t="n">
        <v>44805</v>
      </c>
      <c r="B155" s="21" t="n">
        <v>254.7758213946408</v>
      </c>
      <c r="F155" s="18" t="n">
        <v>44774</v>
      </c>
      <c r="G155" t="n">
        <v>255.348086103</v>
      </c>
    </row>
    <row r="156">
      <c r="A156" s="18" t="n">
        <v>44835</v>
      </c>
      <c r="B156" s="21" t="n">
        <v>256.4573418158454</v>
      </c>
      <c r="F156" s="18" t="n">
        <v>44805</v>
      </c>
      <c r="G156" t="n">
        <v>256.267718514</v>
      </c>
    </row>
    <row r="157">
      <c r="A157" s="18" t="n">
        <v>44866</v>
      </c>
      <c r="B157" s="21" t="n">
        <v>257.1241309045666</v>
      </c>
      <c r="F157" s="18" t="n">
        <v>44835</v>
      </c>
      <c r="G157" t="n">
        <v>257.855389362</v>
      </c>
    </row>
    <row r="158">
      <c r="A158" s="18" t="n">
        <v>44896</v>
      </c>
      <c r="B158" s="21" t="n">
        <v>258.5897384507227</v>
      </c>
      <c r="F158" s="18" t="n">
        <v>44866</v>
      </c>
      <c r="G158" t="n">
        <v>258.275346827</v>
      </c>
    </row>
    <row r="159">
      <c r="A159" s="18" t="n">
        <v>44927</v>
      </c>
      <c r="B159" s="21" t="n">
        <v>261.5118024952158</v>
      </c>
      <c r="F159" s="18" t="n">
        <v>44896</v>
      </c>
      <c r="G159" t="n">
        <v>259.227686485</v>
      </c>
    </row>
    <row r="160">
      <c r="A160" s="18" t="n">
        <v>44958</v>
      </c>
      <c r="B160" s="21" t="n">
        <v>263.4731410139299</v>
      </c>
      <c r="F160" s="18" t="n">
        <v>44927</v>
      </c>
      <c r="G160" t="n">
        <v>261.37392325</v>
      </c>
    </row>
    <row r="161">
      <c r="A161" s="18" t="n">
        <v>44986</v>
      </c>
      <c r="B161" s="21" t="n">
        <v>264.5006862638843</v>
      </c>
      <c r="F161" s="18" t="n">
        <v>44958</v>
      </c>
      <c r="G161" t="n">
        <v>262.744287883</v>
      </c>
    </row>
    <row r="162">
      <c r="A162" s="18" t="n">
        <v>45017</v>
      </c>
      <c r="B162" s="21" t="n">
        <v>266.4050912049842</v>
      </c>
      <c r="F162" s="18" t="n">
        <v>44986</v>
      </c>
      <c r="G162" t="n">
        <v>263.339277099</v>
      </c>
    </row>
    <row r="163">
      <c r="A163" s="18" t="n">
        <v>45047</v>
      </c>
      <c r="B163" s="21" t="n">
        <v>265.7390784769718</v>
      </c>
      <c r="F163" s="18" t="n">
        <v>45017</v>
      </c>
      <c r="G163" t="n">
        <v>264.63531764</v>
      </c>
    </row>
    <row r="164">
      <c r="A164" s="18" t="n">
        <v>45078</v>
      </c>
      <c r="B164" s="21" t="n">
        <v>266.8817565144228</v>
      </c>
      <c r="F164" s="18" t="n">
        <v>45047</v>
      </c>
      <c r="G164" t="n">
        <v>264.000199916</v>
      </c>
    </row>
    <row r="165">
      <c r="A165" s="18" t="n">
        <v>45108</v>
      </c>
      <c r="B165" s="21" t="n">
        <v>268.2161652969949</v>
      </c>
      <c r="F165" s="18" t="n">
        <v>45078</v>
      </c>
      <c r="G165" t="n">
        <v>266.130346712</v>
      </c>
    </row>
    <row r="166" ht="15.7" customHeight="1">
      <c r="A166" s="18" t="n">
        <v>45139</v>
      </c>
      <c r="B166" s="21" t="n">
        <v>268.028413981287</v>
      </c>
      <c r="F166" s="18" t="n">
        <v>45108</v>
      </c>
      <c r="G166" t="n">
        <v>268.27381399</v>
      </c>
    </row>
    <row r="167">
      <c r="A167" s="18" t="n">
        <v>45170</v>
      </c>
      <c r="B167" s="21" t="n">
        <v>272.7189112259595</v>
      </c>
      <c r="F167" s="18" t="n">
        <v>45139</v>
      </c>
      <c r="G167" t="n">
        <v>269.515224944</v>
      </c>
    </row>
    <row r="168">
      <c r="A168" s="18" t="n">
        <v>45200</v>
      </c>
      <c r="B168" s="21" t="n">
        <v>273.9734182175989</v>
      </c>
      <c r="F168" s="18" t="n">
        <v>45170</v>
      </c>
      <c r="G168" t="n">
        <v>274.311015133</v>
      </c>
    </row>
    <row r="169">
      <c r="A169" s="18" t="n">
        <v>45231</v>
      </c>
      <c r="B169" s="21" t="n">
        <v>276.0008215124091</v>
      </c>
      <c r="F169" s="18" t="n">
        <v>45200</v>
      </c>
      <c r="G169" t="n">
        <v>275.460673246</v>
      </c>
    </row>
    <row r="170">
      <c r="A170" s="18" t="n">
        <v>45261</v>
      </c>
      <c r="B170" s="21" t="n">
        <v>276.8012238947951</v>
      </c>
      <c r="F170" s="18" t="n">
        <v>45231</v>
      </c>
      <c r="G170" t="n">
        <v>277.225918631</v>
      </c>
    </row>
    <row r="171">
      <c r="A171" s="18" t="n">
        <v>45292</v>
      </c>
      <c r="B171" s="21" t="n">
        <v>279.2093945426798</v>
      </c>
      <c r="F171" s="18" t="n">
        <v>45261</v>
      </c>
      <c r="G171" t="n">
        <v>277.48166886</v>
      </c>
    </row>
    <row r="172">
      <c r="A172" s="18" t="n">
        <v>45323</v>
      </c>
      <c r="B172" s="21" t="n">
        <v>280.689204333756</v>
      </c>
      <c r="F172" s="18" t="n">
        <v>45292</v>
      </c>
      <c r="G172" t="n">
        <v>279.061697586</v>
      </c>
    </row>
    <row r="173">
      <c r="A173" s="18" t="n">
        <v>45352</v>
      </c>
      <c r="B173" s="21" t="n">
        <v>282.1768571167249</v>
      </c>
      <c r="F173" s="18" t="n">
        <v>45323</v>
      </c>
      <c r="G173" t="n">
        <v>279.910930387</v>
      </c>
    </row>
    <row r="174">
      <c r="A174" s="18" t="n">
        <v>45383</v>
      </c>
      <c r="B174" s="21" t="n">
        <v>283.2491291737685</v>
      </c>
      <c r="F174" s="18" t="n">
        <v>45352</v>
      </c>
      <c r="G174" t="n">
        <v>280.939099486</v>
      </c>
    </row>
    <row r="175">
      <c r="A175" s="18" t="n">
        <v>45413</v>
      </c>
      <c r="B175" s="21" t="n">
        <v>285.9116709880019</v>
      </c>
      <c r="F175" s="18" t="n">
        <v>45383</v>
      </c>
      <c r="G175" t="n">
        <v>281.374229017</v>
      </c>
    </row>
    <row r="176">
      <c r="A176" s="18" t="n">
        <v>45444</v>
      </c>
      <c r="B176" s="21" t="n">
        <v>286.4263119957803</v>
      </c>
      <c r="F176" s="18" t="n">
        <v>45413</v>
      </c>
      <c r="G176" t="n">
        <v>284.048918462</v>
      </c>
    </row>
    <row r="177">
      <c r="A177" s="18" t="n">
        <v>45474</v>
      </c>
      <c r="B177" s="21" t="n">
        <v>289.4910735341351</v>
      </c>
      <c r="F177" s="18" t="n">
        <v>45444</v>
      </c>
      <c r="G177" t="n">
        <v>285.626493824</v>
      </c>
    </row>
    <row r="178">
      <c r="A178" s="18" t="n">
        <v>45505</v>
      </c>
      <c r="B178" s="21" t="n">
        <v>289.7516155003158</v>
      </c>
      <c r="F178" s="18" t="n">
        <v>45474</v>
      </c>
      <c r="G178" t="n">
        <v>289.550841311</v>
      </c>
    </row>
    <row r="179">
      <c r="A179" s="18" t="n">
        <v>45536</v>
      </c>
      <c r="B179" s="21" t="n">
        <v>291.5480755164178</v>
      </c>
      <c r="F179" s="18" t="n">
        <v>45505</v>
      </c>
      <c r="G179" t="n">
        <v>291.355030498</v>
      </c>
    </row>
    <row r="180">
      <c r="A180" s="18" t="n">
        <v>45566</v>
      </c>
      <c r="B180" s="21" t="n">
        <v>294.5218658866853</v>
      </c>
      <c r="F180" s="18" t="n">
        <v>45536</v>
      </c>
      <c r="G180" t="n">
        <v>293.250210029</v>
      </c>
    </row>
    <row r="181">
      <c r="A181" s="18" t="n">
        <v>45597</v>
      </c>
      <c r="B181" s="21" t="n">
        <v>298.9396938749856</v>
      </c>
      <c r="F181" s="18" t="n">
        <v>45566</v>
      </c>
      <c r="G181" t="n">
        <v>296.119831691</v>
      </c>
    </row>
    <row r="182">
      <c r="A182" s="18" t="n">
        <v>45627</v>
      </c>
      <c r="B182" s="21" t="n">
        <v>301.6600450892479</v>
      </c>
      <c r="F182" s="18" t="n">
        <v>45597</v>
      </c>
      <c r="G182" t="n">
        <v>300.261224398</v>
      </c>
    </row>
    <row r="183">
      <c r="A183" s="18" t="n">
        <v>45658</v>
      </c>
      <c r="B183" s="21" t="n">
        <v>304.1939894679975</v>
      </c>
      <c r="F183" s="18" t="n">
        <v>45627</v>
      </c>
      <c r="G183" t="n">
        <v>302.401774936</v>
      </c>
    </row>
    <row r="184">
      <c r="A184" s="18" t="n">
        <v>45689</v>
      </c>
      <c r="B184" s="21" t="n">
        <v>308.2701889268687</v>
      </c>
      <c r="F184" s="18" t="n">
        <v>45658</v>
      </c>
      <c r="G184" t="n">
        <v>304.034701398</v>
      </c>
    </row>
    <row r="185">
      <c r="A185" s="18" t="n">
        <v>45717</v>
      </c>
      <c r="B185" s="21" t="n">
        <v>310.7671774571764</v>
      </c>
      <c r="F185" s="18" t="n">
        <v>45689</v>
      </c>
      <c r="G185" t="n">
        <v>307.414196269</v>
      </c>
    </row>
    <row r="186">
      <c r="A186" s="18" t="n">
        <v>45748</v>
      </c>
      <c r="B186" s="21" t="n">
        <v>312.3210133444622</v>
      </c>
      <c r="F186" s="18" t="n">
        <v>45717</v>
      </c>
      <c r="G186" t="n">
        <v>309.403026728</v>
      </c>
    </row>
    <row r="187">
      <c r="A187" s="18" t="n">
        <v>45778</v>
      </c>
      <c r="B187" s="21" t="n">
        <v>313.713931850195</v>
      </c>
      <c r="F187" s="18" t="n">
        <v>45748</v>
      </c>
      <c r="G187" t="n">
        <v>310.255339465</v>
      </c>
    </row>
    <row r="188">
      <c r="A188" s="18" t="n">
        <v>45809</v>
      </c>
      <c r="B188" s="21" t="n">
        <v>314.7320466391764</v>
      </c>
      <c r="F188" s="18" t="n">
        <v>45778</v>
      </c>
      <c r="G188" t="n">
        <v>311.672897507</v>
      </c>
    </row>
    <row r="189">
      <c r="A189" s="18" t="n">
        <v>45839</v>
      </c>
      <c r="B189" s="21" t="n">
        <v>317.564635058929</v>
      </c>
      <c r="F189" s="18" t="n">
        <v>45809</v>
      </c>
      <c r="G189" t="n">
        <v>313.854576355</v>
      </c>
    </row>
    <row r="190">
      <c r="A190" s="18" t="n">
        <v>45870</v>
      </c>
      <c r="B190" s="21" t="n">
        <v>318.5808418911176</v>
      </c>
      <c r="F190" s="18" t="n">
        <v>45839</v>
      </c>
      <c r="G190" t="n">
        <v>317.626726554</v>
      </c>
    </row>
    <row r="191">
      <c r="A191" s="18" t="n">
        <v>45901</v>
      </c>
      <c r="B191" s="21" t="n">
        <v>319.2180035748998</v>
      </c>
      <c r="F191" s="18" t="n">
        <v>45870</v>
      </c>
      <c r="G191" t="n">
        <v>320.33785796</v>
      </c>
    </row>
    <row r="192">
      <c r="A192" s="18" t="n">
        <v>45931</v>
      </c>
      <c r="B192" s="21" t="n">
        <v>320.7502499920593</v>
      </c>
      <c r="F192" s="18" t="n">
        <v>45901</v>
      </c>
      <c r="G192" t="n">
        <v>321.080538135</v>
      </c>
    </row>
    <row r="193">
      <c r="A193" s="18" t="n">
        <v>45962</v>
      </c>
      <c r="B193" s="21" t="n">
        <v>321.8728758670315</v>
      </c>
      <c r="F193" s="18" t="n">
        <v>45931</v>
      </c>
      <c r="G193" t="n">
        <v>322.489382828</v>
      </c>
    </row>
    <row r="194">
      <c r="A194" s="18" t="n">
        <v>45992</v>
      </c>
      <c r="B194" s="21" t="n">
        <v>322.8384944946326</v>
      </c>
      <c r="F194" s="18" t="n">
        <v>45962</v>
      </c>
      <c r="G194" t="n">
        <v>323.294352532</v>
      </c>
    </row>
    <row r="195">
      <c r="A195" s="18" t="n">
        <v>46023</v>
      </c>
      <c r="B195" s="21" t="n">
        <v>324.9396013468188</v>
      </c>
      <c r="F195" s="18" t="n">
        <v>45992</v>
      </c>
      <c r="G195" t="n">
        <v>323.635165667</v>
      </c>
    </row>
    <row r="196">
      <c r="A196" s="18" t="n">
        <v>46054</v>
      </c>
      <c r="B196" s="21" t="n">
        <v>326.7429485468566</v>
      </c>
      <c r="F196" s="18" t="n">
        <v>46023</v>
      </c>
      <c r="G196" t="n">
        <v>324.77253076</v>
      </c>
    </row>
    <row r="197">
      <c r="A197" s="18" t="n">
        <v>46082</v>
      </c>
      <c r="B197" s="21" t="n">
        <v>328.3272097640993</v>
      </c>
      <c r="F197" s="18" t="n">
        <v>46054</v>
      </c>
      <c r="G197" t="n">
        <v>325.837393581</v>
      </c>
    </row>
    <row r="198">
      <c r="A198" s="18" t="n">
        <v>46113</v>
      </c>
      <c r="B198" s="21" t="n">
        <v>330.59689439597</v>
      </c>
      <c r="F198" s="18" t="n">
        <v>46082</v>
      </c>
      <c r="G198" t="n">
        <v>326.887173037</v>
      </c>
    </row>
    <row r="199">
      <c r="A199" s="18" t="n">
        <v>46143</v>
      </c>
      <c r="B199" s="21" t="n">
        <v>331.5227961263141</v>
      </c>
      <c r="F199" s="18" t="n">
        <v>46113</v>
      </c>
      <c r="G199" t="n">
        <v>328.410292066</v>
      </c>
    </row>
    <row r="200">
      <c r="A200" s="18" t="n">
        <v>46174</v>
      </c>
      <c r="B200" s="21" t="n">
        <v>331.7424797071671</v>
      </c>
      <c r="F200" s="18" t="n">
        <v>46143</v>
      </c>
      <c r="G200" t="n">
        <v>329.365696305</v>
      </c>
    </row>
    <row r="201">
      <c r="A201" s="18" t="n">
        <v>46204</v>
      </c>
      <c r="B201" s="21" t="n">
        <v>331.2824248759313</v>
      </c>
      <c r="F201" s="18" t="n">
        <v>46174</v>
      </c>
      <c r="G201" t="n">
        <v>330.81618056</v>
      </c>
    </row>
    <row r="202">
      <c r="A202" s="18" t="n">
        <v>46235</v>
      </c>
      <c r="B202" s="21" t="n">
        <v>330.6674474213831</v>
      </c>
      <c r="F202" s="18" t="n">
        <v>46204</v>
      </c>
      <c r="G202" t="n">
        <v>331.346188214</v>
      </c>
    </row>
    <row r="203">
      <c r="A203" s="18" t="n">
        <v>46266</v>
      </c>
      <c r="B203" s="21" t="n">
        <v>330.9039715318514</v>
      </c>
      <c r="F203" s="18" t="n">
        <v>46235</v>
      </c>
      <c r="G203" t="n">
        <v>332.489743551</v>
      </c>
    </row>
    <row r="204">
      <c r="A204" s="18" t="n">
        <v>46296</v>
      </c>
      <c r="B204" s="21" t="n">
        <v>332.3616376095582</v>
      </c>
      <c r="F204" s="18" t="n">
        <v>46266</v>
      </c>
      <c r="G204" t="n">
        <v>332.835930299</v>
      </c>
    </row>
    <row r="205">
      <c r="A205" s="18" t="n">
        <v>46327</v>
      </c>
      <c r="B205" s="21" t="n">
        <v>334.3443522590136</v>
      </c>
      <c r="F205" s="18" t="n">
        <v>46296</v>
      </c>
      <c r="G205" t="n">
        <v>334.164653695</v>
      </c>
    </row>
    <row r="206">
      <c r="A206" s="18" t="n">
        <v>46357</v>
      </c>
      <c r="B206" s="21" t="n">
        <v>335.8659507313894</v>
      </c>
      <c r="F206" s="18" t="n">
        <v>46327</v>
      </c>
      <c r="G206" t="n">
        <v>335.821183559</v>
      </c>
    </row>
    <row r="207">
      <c r="F207" s="18" t="n">
        <v>46357</v>
      </c>
      <c r="G207" t="n">
        <v>336.696822631</v>
      </c>
    </row>
    <row r="208">
      <c r="F208" s="18" t="n">
        <v>46388</v>
      </c>
      <c r="G208" t="n">
        <v>338.312959398</v>
      </c>
    </row>
    <row r="209">
      <c r="F209" s="18" t="n">
        <v>46419</v>
      </c>
      <c r="G209" t="n">
        <v>340.157785326</v>
      </c>
    </row>
    <row r="210">
      <c r="F210" s="18" t="n">
        <v>46447</v>
      </c>
      <c r="G210" t="n">
        <v>342.01267112</v>
      </c>
    </row>
    <row r="211">
      <c r="F211" s="18" t="n">
        <v>46478</v>
      </c>
      <c r="G211" t="n">
        <v>343.877671636</v>
      </c>
    </row>
    <row r="212">
      <c r="F212" s="18" t="n">
        <v>46508</v>
      </c>
      <c r="G212" t="n">
        <v>345.75284203</v>
      </c>
    </row>
    <row r="213">
      <c r="F213" s="18" t="n">
        <v>46539</v>
      </c>
      <c r="G213" t="n">
        <v>347.638237758</v>
      </c>
    </row>
    <row r="214">
      <c r="F214" s="18" t="n">
        <v>46569</v>
      </c>
      <c r="G214" t="n">
        <v>349.53391458</v>
      </c>
    </row>
    <row r="215">
      <c r="F215" s="18" t="n">
        <v>46600</v>
      </c>
      <c r="G215" t="n">
        <v>351.439928557</v>
      </c>
    </row>
    <row r="216">
      <c r="F216" s="18" t="n">
        <v>46631</v>
      </c>
      <c r="G216" t="n">
        <v>353.356336059</v>
      </c>
    </row>
    <row r="217">
      <c r="F217" s="18" t="n">
        <v>46661</v>
      </c>
      <c r="G217" t="n">
        <v>355.283193761</v>
      </c>
    </row>
    <row r="218">
      <c r="F218" s="18" t="n">
        <v>46692</v>
      </c>
      <c r="G218" t="n">
        <v>357.220558649</v>
      </c>
    </row>
    <row r="219">
      <c r="F219" s="18" t="n">
        <v>46722</v>
      </c>
      <c r="G219" t="n">
        <v>359.168488019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Метов Валерий Хаутиевич</dc:creator>
  <dcterms:created xmlns:dcterms="http://purl.org/dc/terms/" xmlns:xsi="http://www.w3.org/2001/XMLSchema-instance" xsi:type="dcterms:W3CDTF">2023-01-27T09:39:11Z</dcterms:created>
  <dcterms:modified xmlns:dcterms="http://purl.org/dc/terms/" xmlns:xsi="http://www.w3.org/2001/XMLSchema-instance" xsi:type="dcterms:W3CDTF">2026-07-14T06:35:49Z</dcterms:modified>
  <cp:lastModifiedBy>msuser1087</cp:lastModifiedBy>
  <cp:lastPrinted>2025-04-03T08:57:18Z</cp:lastPrinted>
</cp:coreProperties>
</file>