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8800" windowHeight="11100"/>
  </bookViews>
  <sheets>
    <sheet name="Сравнительная" sheetId="1" r:id="rId1"/>
  </sheets>
  <definedNames>
    <definedName name="_xlnm.Print_Titles" localSheetId="0">Сравнительная!$4:$5</definedName>
    <definedName name="_xlnm.Print_Area" localSheetId="0">Сравнительная!$A$1:$F$122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4" i="1" l="1"/>
  <c r="A103" i="1"/>
  <c r="A107" i="1"/>
  <c r="A106" i="1"/>
  <c r="A101" i="1"/>
  <c r="A100" i="1"/>
  <c r="A98" i="1"/>
  <c r="A97" i="1"/>
  <c r="A95" i="1"/>
  <c r="A94" i="1"/>
  <c r="A83" i="1"/>
  <c r="A82" i="1"/>
  <c r="A80" i="1"/>
  <c r="A79" i="1"/>
  <c r="A77" i="1"/>
  <c r="A76" i="1"/>
  <c r="A10" i="1" l="1"/>
  <c r="A11" i="1"/>
  <c r="A122" i="1" l="1"/>
  <c r="A121" i="1"/>
  <c r="A119" i="1"/>
  <c r="A118" i="1"/>
  <c r="A116" i="1"/>
  <c r="A115" i="1"/>
  <c r="A113" i="1"/>
  <c r="A112" i="1"/>
  <c r="A110" i="1"/>
  <c r="A109" i="1"/>
  <c r="A92" i="1"/>
  <c r="A91" i="1"/>
  <c r="A89" i="1"/>
  <c r="A88" i="1"/>
  <c r="A86" i="1"/>
  <c r="A85" i="1"/>
  <c r="A74" i="1"/>
  <c r="A73" i="1"/>
  <c r="A71" i="1"/>
  <c r="A70" i="1"/>
  <c r="A68" i="1"/>
  <c r="A67" i="1"/>
  <c r="A65" i="1"/>
  <c r="A64" i="1"/>
  <c r="A62" i="1"/>
  <c r="A61" i="1"/>
  <c r="A59" i="1"/>
  <c r="A58" i="1"/>
  <c r="A56" i="1"/>
  <c r="A55" i="1"/>
  <c r="A53" i="1"/>
  <c r="A52" i="1"/>
  <c r="A50" i="1"/>
  <c r="A49" i="1"/>
  <c r="A47" i="1"/>
  <c r="A46" i="1"/>
  <c r="A44" i="1"/>
  <c r="A43" i="1"/>
  <c r="A41" i="1"/>
  <c r="A40" i="1"/>
  <c r="A38" i="1"/>
  <c r="A37" i="1"/>
  <c r="A35" i="1"/>
  <c r="A34" i="1"/>
  <c r="A32" i="1"/>
  <c r="A31" i="1"/>
  <c r="A29" i="1"/>
  <c r="A28" i="1"/>
  <c r="A26" i="1"/>
  <c r="A25" i="1"/>
  <c r="A23" i="1"/>
  <c r="A22" i="1"/>
  <c r="A20" i="1"/>
  <c r="A19" i="1"/>
  <c r="A17" i="1"/>
  <c r="A16" i="1"/>
  <c r="A14" i="1"/>
  <c r="A13" i="1"/>
</calcChain>
</file>

<file path=xl/sharedStrings.xml><?xml version="1.0" encoding="utf-8"?>
<sst xmlns="http://schemas.openxmlformats.org/spreadsheetml/2006/main" count="46" uniqueCount="35">
  <si>
    <t>Сравнительная таблица по вариантам прогнозов</t>
  </si>
  <si>
    <r>
      <t xml:space="preserve">Курс доллара среднегодовой, </t>
    </r>
    <r>
      <rPr>
        <sz val="12"/>
        <color indexed="62"/>
        <rFont val="Arial"/>
        <family val="2"/>
        <charset val="204"/>
      </rPr>
      <t>рублей за доллар США</t>
    </r>
  </si>
  <si>
    <t>Базовый</t>
  </si>
  <si>
    <t>Консервативный</t>
  </si>
  <si>
    <r>
      <t xml:space="preserve"> Промышленность, </t>
    </r>
    <r>
      <rPr>
        <sz val="12"/>
        <color rgb="FF333399"/>
        <rFont val="Arial"/>
        <family val="2"/>
        <charset val="204"/>
      </rPr>
      <t>%</t>
    </r>
  </si>
  <si>
    <r>
      <t xml:space="preserve">Инвестиции в основной капитал, </t>
    </r>
    <r>
      <rPr>
        <sz val="12"/>
        <color rgb="FF333399"/>
        <rFont val="Arial"/>
        <family val="2"/>
        <charset val="204"/>
      </rPr>
      <t>%</t>
    </r>
  </si>
  <si>
    <r>
      <t xml:space="preserve">Объем платных услуг населению, </t>
    </r>
    <r>
      <rPr>
        <sz val="12"/>
        <color rgb="FF333399"/>
        <rFont val="Arial"/>
        <family val="2"/>
        <charset val="204"/>
      </rPr>
      <t>%</t>
    </r>
  </si>
  <si>
    <r>
      <t xml:space="preserve">Оборот розничной торговли, </t>
    </r>
    <r>
      <rPr>
        <sz val="12"/>
        <color rgb="FF333399"/>
        <rFont val="Arial"/>
        <family val="2"/>
        <charset val="204"/>
      </rPr>
      <t>%</t>
    </r>
  </si>
  <si>
    <r>
      <t xml:space="preserve">Реальные располагаемые доходы населения, </t>
    </r>
    <r>
      <rPr>
        <sz val="12"/>
        <color rgb="FF333399"/>
        <rFont val="Arial"/>
        <family val="2"/>
        <charset val="204"/>
      </rPr>
      <t>%</t>
    </r>
  </si>
  <si>
    <r>
      <t xml:space="preserve">Реальная заработная плата, </t>
    </r>
    <r>
      <rPr>
        <sz val="12"/>
        <color rgb="FF333399"/>
        <rFont val="Arial"/>
        <family val="2"/>
        <charset val="204"/>
      </rPr>
      <t xml:space="preserve">% </t>
    </r>
  </si>
  <si>
    <r>
      <t xml:space="preserve">Производительность труда, </t>
    </r>
    <r>
      <rPr>
        <sz val="12"/>
        <color rgb="FF333399"/>
        <rFont val="Arial"/>
        <family val="2"/>
        <charset val="204"/>
      </rPr>
      <t>%</t>
    </r>
  </si>
  <si>
    <r>
      <t xml:space="preserve">Экспорт товаров,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</si>
  <si>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к ВВП, </t>
    </r>
    <r>
      <rPr>
        <sz val="12"/>
        <color rgb="FF333399"/>
        <rFont val="Arial"/>
        <family val="2"/>
        <charset val="204"/>
      </rPr>
      <t>%</t>
    </r>
  </si>
  <si>
    <r>
      <t xml:space="preserve">Экспорт ненефтегазовый,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</si>
  <si>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Экспорт нефтегазовый,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</si>
  <si>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Численность рабочей силы, </t>
    </r>
    <r>
      <rPr>
        <sz val="12"/>
        <color rgb="FF333399"/>
        <rFont val="Arial"/>
        <family val="2"/>
        <charset val="204"/>
      </rPr>
      <t>млн чел.</t>
    </r>
  </si>
  <si>
    <r>
      <t xml:space="preserve">Фонд заработной платы работников организаций, </t>
    </r>
    <r>
      <rPr>
        <sz val="12"/>
        <color rgb="FF333399"/>
        <rFont val="Arial"/>
        <family val="2"/>
        <charset val="204"/>
      </rPr>
      <t>млрд руб.</t>
    </r>
  </si>
  <si>
    <r>
      <t xml:space="preserve">Фонд заработной платы работников организаций, </t>
    </r>
    <r>
      <rPr>
        <sz val="12"/>
        <color rgb="FF333399"/>
        <rFont val="Arial"/>
        <family val="2"/>
        <charset val="204"/>
      </rPr>
      <t>% г/г</t>
    </r>
  </si>
  <si>
    <r>
      <t xml:space="preserve">Уровень безработицы, </t>
    </r>
    <r>
      <rPr>
        <sz val="12"/>
        <color rgb="FF333399"/>
        <rFont val="Arial"/>
        <family val="2"/>
        <charset val="204"/>
      </rPr>
      <t>% к рабочей силе</t>
    </r>
  </si>
  <si>
    <r>
      <t xml:space="preserve">Численность занятых в экономике, </t>
    </r>
    <r>
      <rPr>
        <sz val="12"/>
        <color rgb="FF333399"/>
        <rFont val="Arial"/>
        <family val="2"/>
        <charset val="204"/>
      </rPr>
      <t>млн чел.</t>
    </r>
  </si>
  <si>
    <r>
      <t>Индекс потребительских цен</t>
    </r>
    <r>
      <rPr>
        <sz val="12"/>
        <color rgb="FF203277"/>
        <rFont val="Arial"/>
        <family val="2"/>
        <charset val="204"/>
      </rPr>
      <t xml:space="preserve"> </t>
    </r>
    <r>
      <rPr>
        <sz val="12"/>
        <color indexed="62"/>
        <rFont val="Arial"/>
        <family val="2"/>
        <charset val="204"/>
      </rPr>
      <t xml:space="preserve">на конец года, % к декабрю </t>
    </r>
  </si>
  <si>
    <r>
      <t>Индекс потребительских цен</t>
    </r>
    <r>
      <rPr>
        <sz val="12"/>
        <color rgb="FF203277"/>
        <rFont val="Arial"/>
        <family val="2"/>
        <charset val="204"/>
      </rPr>
      <t xml:space="preserve"> </t>
    </r>
    <r>
      <rPr>
        <sz val="12"/>
        <color indexed="62"/>
        <rFont val="Arial"/>
        <family val="2"/>
        <charset val="204"/>
      </rPr>
      <t>в среднем за год, %</t>
    </r>
  </si>
  <si>
    <t>отчет</t>
  </si>
  <si>
    <t>оценка</t>
  </si>
  <si>
    <t>прогноз</t>
  </si>
  <si>
    <r>
      <t xml:space="preserve">темп роста ВВП, </t>
    </r>
    <r>
      <rPr>
        <sz val="12"/>
        <color rgb="FF333399"/>
        <rFont val="Arial"/>
        <family val="2"/>
        <charset val="204"/>
      </rPr>
      <t>%</t>
    </r>
  </si>
  <si>
    <r>
      <t xml:space="preserve">дефлятор ВВП, </t>
    </r>
    <r>
      <rPr>
        <sz val="12"/>
        <color rgb="FF333399"/>
        <rFont val="Arial"/>
        <family val="2"/>
        <charset val="204"/>
      </rPr>
      <t>%</t>
    </r>
  </si>
  <si>
    <r>
      <t xml:space="preserve">темп роста, </t>
    </r>
    <r>
      <rPr>
        <sz val="12"/>
        <color rgb="FF333399"/>
        <rFont val="Arial"/>
        <family val="2"/>
        <charset val="204"/>
      </rPr>
      <t>%</t>
    </r>
  </si>
  <si>
    <t>Министерство экономического развития
Российской Федерации</t>
  </si>
  <si>
    <r>
      <t>Цена на нефть марки Юралс,</t>
    </r>
    <r>
      <rPr>
        <sz val="12"/>
        <color indexed="62"/>
        <rFont val="Arial"/>
        <family val="2"/>
        <charset val="204"/>
      </rPr>
      <t xml:space="preserve"> долл. США / барр.</t>
    </r>
  </si>
  <si>
    <r>
      <t xml:space="preserve">Валовой внутренний продукт, </t>
    </r>
    <r>
      <rPr>
        <sz val="12"/>
        <color indexed="62"/>
        <rFont val="Arial"/>
        <family val="2"/>
        <charset val="204"/>
      </rPr>
      <t>млрд руб.</t>
    </r>
  </si>
  <si>
    <r>
      <t xml:space="preserve">Импорт товаров,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</si>
  <si>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Экспорт услуг,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</si>
  <si>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Импорт услуг, </t>
    </r>
    <r>
      <rPr>
        <sz val="12"/>
        <color rgb="FF333399"/>
        <rFont val="Arial"/>
        <family val="2"/>
        <charset val="204"/>
      </rPr>
      <t>млрд долл. США</t>
    </r>
  </si>
  <si>
    <r>
      <t xml:space="preserve">Торговый баланс, </t>
    </r>
    <r>
      <rPr>
        <sz val="12"/>
        <color rgb="FF333399"/>
        <rFont val="Arial"/>
        <family val="2"/>
        <charset val="204"/>
      </rPr>
      <t>млрд долл. США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</si>
</sst>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6" x14ac:knownFonts="1">
    <font>
      <sz val="10"/>
      <name val="Arial"/>
      <family val="2"/>
      <charset val="204"/>
    </font>
    <font>
      <sz val="10"/>
      <name val="Arial Cyr"/>
      <charset val="204"/>
    </font>
    <font>
      <b/>
      <sz val="16"/>
      <color rgb="FF203277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24"/>
      <name val="Arial"/>
      <family val="2"/>
      <charset val="204"/>
    </font>
    <font>
      <b/>
      <sz val="12"/>
      <color rgb="FF203277"/>
      <name val="Arial"/>
      <family val="2"/>
      <charset val="204"/>
    </font>
    <font>
      <sz val="12"/>
      <color indexed="62"/>
      <name val="Arial"/>
      <family val="2"/>
      <charset val="204"/>
    </font>
    <font>
      <sz val="12"/>
      <color rgb="FF203277"/>
      <name val="Arial"/>
      <family val="2"/>
      <charset val="204"/>
    </font>
    <font>
      <sz val="24"/>
      <name val="Arial"/>
      <family val="2"/>
      <charset val="204"/>
    </font>
    <font>
      <sz val="12"/>
      <color theme="1"/>
      <name val="Arial"/>
      <family val="2"/>
      <charset val="204"/>
    </font>
    <font>
      <sz val="13"/>
      <name val="Arial"/>
      <family val="2"/>
      <charset val="204"/>
    </font>
    <font>
      <sz val="14"/>
      <name val="Arial"/>
      <family val="2"/>
      <charset val="204"/>
    </font>
    <font>
      <sz val="12"/>
      <color rgb="FF333399"/>
      <name val="Arial"/>
      <family val="2"/>
      <charset val="204"/>
    </font>
    <font>
      <sz val="16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3" fillId="0" borderId="0" xfId="1" applyFont="1" applyFill="1" applyBorder="1"/>
    <xf numFmtId="0" fontId="5" fillId="0" borderId="0" xfId="1" applyFont="1" applyFill="1" applyBorder="1"/>
    <xf numFmtId="17" fontId="4" fillId="0" borderId="4" xfId="1" applyNumberFormat="1" applyFont="1" applyFill="1" applyBorder="1" applyAlignment="1">
      <alignment horizontal="center" vertical="center" wrapText="1"/>
    </xf>
    <xf numFmtId="17" fontId="4" fillId="0" borderId="3" xfId="1" applyNumberFormat="1" applyFont="1" applyFill="1" applyBorder="1" applyAlignment="1">
      <alignment horizontal="center" vertical="center" wrapText="1"/>
    </xf>
    <xf numFmtId="0" fontId="9" fillId="0" borderId="0" xfId="1" applyFont="1" applyFill="1" applyBorder="1"/>
    <xf numFmtId="0" fontId="11" fillId="0" borderId="0" xfId="1" applyFont="1" applyFill="1" applyBorder="1"/>
    <xf numFmtId="0" fontId="12" fillId="0" borderId="5" xfId="1" applyFont="1" applyFill="1" applyBorder="1"/>
    <xf numFmtId="164" fontId="10" fillId="0" borderId="7" xfId="1" applyNumberFormat="1" applyFont="1" applyFill="1" applyBorder="1" applyAlignment="1">
      <alignment horizontal="center" vertical="center"/>
    </xf>
    <xf numFmtId="164" fontId="10" fillId="0" borderId="8" xfId="1" applyNumberFormat="1" applyFont="1" applyFill="1" applyBorder="1" applyAlignment="1">
      <alignment horizontal="center" vertical="center"/>
    </xf>
    <xf numFmtId="165" fontId="10" fillId="0" borderId="7" xfId="1" applyNumberFormat="1" applyFont="1" applyFill="1" applyBorder="1" applyAlignment="1">
      <alignment horizontal="center" vertical="center"/>
    </xf>
    <xf numFmtId="165" fontId="10" fillId="0" borderId="8" xfId="1" applyNumberFormat="1" applyFont="1" applyFill="1" applyBorder="1" applyAlignment="1">
      <alignment horizontal="center" vertical="center"/>
    </xf>
    <xf numFmtId="165" fontId="10" fillId="0" borderId="10" xfId="1" applyNumberFormat="1" applyFont="1" applyFill="1" applyBorder="1" applyAlignment="1">
      <alignment horizontal="center" vertical="center"/>
    </xf>
    <xf numFmtId="165" fontId="10" fillId="0" borderId="11" xfId="1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164" fontId="10" fillId="0" borderId="18" xfId="1" applyNumberFormat="1" applyFont="1" applyFill="1" applyBorder="1" applyAlignment="1">
      <alignment horizontal="center" vertical="center"/>
    </xf>
    <xf numFmtId="165" fontId="10" fillId="0" borderId="19" xfId="1" applyNumberFormat="1" applyFont="1" applyFill="1" applyBorder="1" applyAlignment="1">
      <alignment horizontal="center" vertical="center"/>
    </xf>
    <xf numFmtId="165" fontId="10" fillId="0" borderId="18" xfId="1" applyNumberFormat="1" applyFont="1" applyFill="1" applyBorder="1" applyAlignment="1">
      <alignment horizontal="center" vertical="center"/>
    </xf>
    <xf numFmtId="1" fontId="10" fillId="0" borderId="18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  <xf numFmtId="1" fontId="8" fillId="2" borderId="21" xfId="1" applyNumberFormat="1" applyFont="1" applyFill="1" applyBorder="1" applyAlignment="1">
      <alignment horizontal="center" vertical="center"/>
    </xf>
    <xf numFmtId="1" fontId="8" fillId="2" borderId="22" xfId="1" applyNumberFormat="1" applyFont="1" applyFill="1" applyBorder="1" applyAlignment="1">
      <alignment horizontal="center" vertical="center"/>
    </xf>
    <xf numFmtId="0" fontId="6" fillId="2" borderId="22" xfId="1" applyFont="1" applyFill="1" applyBorder="1"/>
    <xf numFmtId="0" fontId="6" fillId="2" borderId="23" xfId="1" applyFont="1" applyFill="1" applyBorder="1"/>
    <xf numFmtId="1" fontId="8" fillId="2" borderId="24" xfId="1" applyNumberFormat="1" applyFont="1" applyFill="1" applyBorder="1" applyAlignment="1">
      <alignment horizontal="center" vertical="center"/>
    </xf>
    <xf numFmtId="1" fontId="8" fillId="2" borderId="25" xfId="1" applyNumberFormat="1" applyFont="1" applyFill="1" applyBorder="1" applyAlignment="1">
      <alignment horizontal="center" vertical="center"/>
    </xf>
    <xf numFmtId="0" fontId="6" fillId="2" borderId="25" xfId="1" applyFont="1" applyFill="1" applyBorder="1"/>
    <xf numFmtId="0" fontId="6" fillId="2" borderId="26" xfId="1" applyFont="1" applyFill="1" applyBorder="1"/>
    <xf numFmtId="1" fontId="8" fillId="2" borderId="27" xfId="1" applyNumberFormat="1" applyFont="1" applyFill="1" applyBorder="1" applyAlignment="1">
      <alignment horizontal="center" vertical="center"/>
    </xf>
    <xf numFmtId="0" fontId="6" fillId="2" borderId="27" xfId="1" applyFont="1" applyFill="1" applyBorder="1"/>
    <xf numFmtId="0" fontId="6" fillId="2" borderId="28" xfId="1" applyFont="1" applyFill="1" applyBorder="1"/>
    <xf numFmtId="0" fontId="6" fillId="2" borderId="29" xfId="1" applyFont="1" applyFill="1" applyBorder="1" applyAlignment="1">
      <alignment horizontal="left" vertical="center" wrapText="1" indent="2"/>
    </xf>
    <xf numFmtId="0" fontId="6" fillId="2" borderId="30" xfId="1" applyFont="1" applyFill="1" applyBorder="1" applyAlignment="1">
      <alignment horizontal="left" vertical="center" wrapText="1" indent="3"/>
    </xf>
    <xf numFmtId="0" fontId="6" fillId="2" borderId="20" xfId="1" applyFont="1" applyFill="1" applyBorder="1" applyAlignment="1">
      <alignment horizontal="left" vertical="center" wrapText="1" indent="2"/>
    </xf>
    <xf numFmtId="0" fontId="8" fillId="2" borderId="30" xfId="1" applyFont="1" applyFill="1" applyBorder="1" applyAlignment="1">
      <alignment horizontal="left" vertical="center" wrapText="1" indent="4"/>
    </xf>
    <xf numFmtId="0" fontId="8" fillId="2" borderId="24" xfId="1" applyFont="1" applyFill="1" applyBorder="1" applyAlignment="1">
      <alignment horizontal="left" vertical="center" wrapText="1" indent="4"/>
    </xf>
    <xf numFmtId="3" fontId="15" fillId="0" borderId="7" xfId="1" applyNumberFormat="1" applyFont="1" applyFill="1" applyBorder="1" applyAlignment="1">
      <alignment horizontal="center" vertical="center"/>
    </xf>
    <xf numFmtId="3" fontId="15" fillId="0" borderId="8" xfId="1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164" fontId="10" fillId="0" borderId="31" xfId="1" applyNumberFormat="1" applyFont="1" applyFill="1" applyBorder="1" applyAlignment="1">
      <alignment horizontal="center" vertical="center"/>
    </xf>
    <xf numFmtId="164" fontId="10" fillId="0" borderId="9" xfId="1" applyNumberFormat="1" applyFont="1" applyFill="1" applyBorder="1" applyAlignment="1">
      <alignment horizontal="center" vertical="center"/>
    </xf>
    <xf numFmtId="164" fontId="10" fillId="0" borderId="32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 wrapText="1"/>
    </xf>
    <xf numFmtId="1" fontId="10" fillId="0" borderId="31" xfId="1" applyNumberFormat="1" applyFont="1" applyFill="1" applyBorder="1" applyAlignment="1">
      <alignment horizontal="center" vertical="center"/>
    </xf>
    <xf numFmtId="1" fontId="10" fillId="0" borderId="32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2" xfId="1" quotePrefix="1" applyFont="1" applyFill="1" applyBorder="1" applyAlignment="1">
      <alignment horizontal="center" vertical="center" wrapText="1"/>
    </xf>
    <xf numFmtId="0" fontId="4" fillId="0" borderId="3" xfId="1" quotePrefix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3" fontId="15" fillId="0" borderId="31" xfId="1" applyNumberFormat="1" applyFont="1" applyFill="1" applyBorder="1" applyAlignment="1">
      <alignment horizontal="center" vertical="center"/>
    </xf>
    <xf numFmtId="3" fontId="15" fillId="0" borderId="32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100" xfId="1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44824</xdr:colOff>
      <xdr:row>0</xdr:row>
      <xdr:rowOff>33618</xdr:rowOff>
    </xdr:from>
    <xdr:to>
      <xdr:col>5</xdr:col>
      <xdr:colOff>697153</xdr:colOff>
      <xdr:row>1</xdr:row>
      <xdr:rowOff>530919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8030" y="33618"/>
          <a:ext cx="652329" cy="654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tabColor theme="5"/>
  </sheetPr>
  <dimension ref="A1:G132"/>
  <sheetViews>
    <sheetView tabSelected="1" view="pageBreakPreview" zoomScale="85" zoomScaleNormal="80" zoomScaleSheetLayoutView="85" workbookViewId="0">
      <selection sqref="A1:F2"/>
    </sheetView>
  </sheetViews>
  <sheetFormatPr defaultColWidth="8" defaultRowHeight="18" x14ac:dyDescent="0.25"/>
  <cols>
    <col min="1" max="1" width="78.140625" style="7" customWidth="1"/>
    <col min="2" max="6" width="12" style="1" customWidth="1"/>
    <col min="7" max="16384" width="8" style="1"/>
  </cols>
  <sheetData>
    <row r="1" spans="1:7" ht="12.75" customHeight="1" x14ac:dyDescent="0.2">
      <c r="A1" s="48" t="s">
        <v>28</v>
      </c>
      <c r="B1" s="48"/>
      <c r="C1" s="48"/>
      <c r="D1" s="48"/>
      <c r="E1" s="48"/>
      <c r="F1" s="48"/>
      <c r="G1" s="41"/>
    </row>
    <row r="2" spans="1:7" ht="42.75" customHeight="1" x14ac:dyDescent="0.2">
      <c r="A2" s="48"/>
      <c r="B2" s="48"/>
      <c r="C2" s="48"/>
      <c r="D2" s="48"/>
      <c r="E2" s="48"/>
      <c r="F2" s="48"/>
      <c r="G2" s="41"/>
    </row>
    <row r="3" spans="1:7" ht="21.75" customHeight="1" thickBot="1" x14ac:dyDescent="0.25">
      <c r="A3" s="51" t="s">
        <v>0</v>
      </c>
      <c r="B3" s="51"/>
      <c r="C3" s="51"/>
      <c r="D3" s="51"/>
      <c r="E3" s="51"/>
      <c r="F3" s="51"/>
    </row>
    <row r="4" spans="1:7" s="2" customFormat="1" ht="18" customHeight="1" x14ac:dyDescent="0.4">
      <c r="A4" s="52"/>
      <c r="B4" s="14">
        <v>2025</v>
      </c>
      <c r="C4" s="15">
        <v>2026</v>
      </c>
      <c r="D4" s="15">
        <v>2027</v>
      </c>
      <c r="E4" s="15">
        <v>2028</v>
      </c>
      <c r="F4" s="16">
        <v>2029</v>
      </c>
    </row>
    <row r="5" spans="1:7" s="2" customFormat="1" ht="18" customHeight="1" thickBot="1" x14ac:dyDescent="0.45">
      <c r="A5" s="53"/>
      <c r="B5" s="42" t="s">
        <v>22</v>
      </c>
      <c r="C5" s="43" t="s">
        <v>23</v>
      </c>
      <c r="D5" s="54" t="s">
        <v>24</v>
      </c>
      <c r="E5" s="55"/>
      <c r="F5" s="56"/>
    </row>
    <row r="6" spans="1:7" s="2" customFormat="1" ht="18.75" customHeight="1" x14ac:dyDescent="0.4">
      <c r="A6" s="34" t="s">
        <v>30</v>
      </c>
      <c r="B6" s="23"/>
      <c r="C6" s="24"/>
      <c r="D6" s="24"/>
      <c r="E6" s="25"/>
      <c r="F6" s="26"/>
    </row>
    <row r="7" spans="1:7" s="2" customFormat="1" ht="20.25" customHeight="1" x14ac:dyDescent="0.4">
      <c r="A7" s="3" t="s">
        <v>2</v>
      </c>
      <c r="B7" s="57">
        <v>214261.02350000001</v>
      </c>
      <c r="C7" s="39">
        <v>232318.08230000001</v>
      </c>
      <c r="D7" s="39">
        <v>248322.69829999999</v>
      </c>
      <c r="E7" s="39">
        <v>263724.28379999998</v>
      </c>
      <c r="F7" s="40">
        <v>281673.58010000002</v>
      </c>
    </row>
    <row r="8" spans="1:7" s="2" customFormat="1" ht="20.25" customHeight="1" x14ac:dyDescent="0.4">
      <c r="A8" s="3" t="s">
        <v>3</v>
      </c>
      <c r="B8" s="58"/>
      <c r="C8" s="39">
        <v>232318.08230000001</v>
      </c>
      <c r="D8" s="39">
        <v>246292.9711</v>
      </c>
      <c r="E8" s="39">
        <v>260079.345</v>
      </c>
      <c r="F8" s="40">
        <v>276219.56949999998</v>
      </c>
    </row>
    <row r="9" spans="1:7" s="5" customFormat="1" ht="18" customHeight="1" x14ac:dyDescent="0.4">
      <c r="A9" s="35" t="s">
        <v>25</v>
      </c>
      <c r="B9" s="27"/>
      <c r="C9" s="28"/>
      <c r="D9" s="28"/>
      <c r="E9" s="29"/>
      <c r="F9" s="30"/>
    </row>
    <row r="10" spans="1:7" s="5" customFormat="1" ht="18" customHeight="1" x14ac:dyDescent="0.4">
      <c r="A10" s="3" t="str">
        <f>$A$7</f>
        <v>Базовый</v>
      </c>
      <c r="B10" s="44">
        <v>1</v>
      </c>
      <c r="C10" s="8">
        <v>0.59999999999999432</v>
      </c>
      <c r="D10" s="8">
        <v>1.4000000000000057</v>
      </c>
      <c r="E10" s="8">
        <v>1.9000000000000057</v>
      </c>
      <c r="F10" s="9">
        <v>2.4000000000000057</v>
      </c>
    </row>
    <row r="11" spans="1:7" s="5" customFormat="1" ht="18" customHeight="1" x14ac:dyDescent="0.4">
      <c r="A11" s="3" t="str">
        <f>$A$8</f>
        <v>Консервативный</v>
      </c>
      <c r="B11" s="46"/>
      <c r="C11" s="10">
        <v>0.59999999999999432</v>
      </c>
      <c r="D11" s="10">
        <v>0.70000000000000284</v>
      </c>
      <c r="E11" s="10">
        <v>1.2999999999999972</v>
      </c>
      <c r="F11" s="11">
        <v>1.7999999999999972</v>
      </c>
    </row>
    <row r="12" spans="1:7" s="5" customFormat="1" ht="18" customHeight="1" x14ac:dyDescent="0.4">
      <c r="A12" s="35" t="s">
        <v>26</v>
      </c>
      <c r="B12" s="27"/>
      <c r="C12" s="28"/>
      <c r="D12" s="28"/>
      <c r="E12" s="29"/>
      <c r="F12" s="30"/>
    </row>
    <row r="13" spans="1:7" s="5" customFormat="1" ht="18" customHeight="1" x14ac:dyDescent="0.4">
      <c r="A13" s="3" t="str">
        <f>$A$7</f>
        <v>Базовый</v>
      </c>
      <c r="B13" s="44">
        <v>4.9000000000000057</v>
      </c>
      <c r="C13" s="8">
        <v>7.7809000000000026</v>
      </c>
      <c r="D13" s="8">
        <v>5.4133000000000067</v>
      </c>
      <c r="E13" s="8">
        <v>4.2219999999999942</v>
      </c>
      <c r="F13" s="9">
        <v>4.3028000000000048</v>
      </c>
    </row>
    <row r="14" spans="1:7" s="5" customFormat="1" ht="18" customHeight="1" thickBot="1" x14ac:dyDescent="0.45">
      <c r="A14" s="4" t="str">
        <f>$A$8</f>
        <v>Консервативный</v>
      </c>
      <c r="B14" s="45"/>
      <c r="C14" s="10">
        <v>7.7809000000000026</v>
      </c>
      <c r="D14" s="10">
        <v>5.278499999999994</v>
      </c>
      <c r="E14" s="10">
        <v>4.2424000000000035</v>
      </c>
      <c r="F14" s="11">
        <v>4.328000000000003</v>
      </c>
    </row>
    <row r="15" spans="1:7" s="2" customFormat="1" ht="18" customHeight="1" x14ac:dyDescent="0.4">
      <c r="A15" s="34" t="s">
        <v>29</v>
      </c>
      <c r="B15" s="23"/>
      <c r="C15" s="24"/>
      <c r="D15" s="24"/>
      <c r="E15" s="25"/>
      <c r="F15" s="26"/>
    </row>
    <row r="16" spans="1:7" s="2" customFormat="1" ht="18" customHeight="1" x14ac:dyDescent="0.4">
      <c r="A16" s="3" t="str">
        <f>$A$7</f>
        <v>Базовый</v>
      </c>
      <c r="B16" s="44">
        <v>55.624699999999997</v>
      </c>
      <c r="C16" s="8">
        <v>61.215000000000003</v>
      </c>
      <c r="D16" s="8">
        <v>53</v>
      </c>
      <c r="E16" s="8">
        <v>52.025300000000001</v>
      </c>
      <c r="F16" s="9">
        <v>50.98</v>
      </c>
    </row>
    <row r="17" spans="1:6" s="2" customFormat="1" ht="18" customHeight="1" thickBot="1" x14ac:dyDescent="0.45">
      <c r="A17" s="4" t="str">
        <f>$A$8</f>
        <v>Консервативный</v>
      </c>
      <c r="B17" s="45"/>
      <c r="C17" s="10">
        <v>61.215000000000003</v>
      </c>
      <c r="D17" s="10">
        <v>48</v>
      </c>
      <c r="E17" s="10">
        <v>44.958300000000001</v>
      </c>
      <c r="F17" s="11">
        <v>43.958300000000001</v>
      </c>
    </row>
    <row r="18" spans="1:6" s="2" customFormat="1" ht="20.25" customHeight="1" x14ac:dyDescent="0.4">
      <c r="A18" s="34" t="s">
        <v>1</v>
      </c>
      <c r="B18" s="23"/>
      <c r="C18" s="24"/>
      <c r="D18" s="24"/>
      <c r="E18" s="25"/>
      <c r="F18" s="26"/>
    </row>
    <row r="19" spans="1:6" s="2" customFormat="1" ht="18" customHeight="1" x14ac:dyDescent="0.4">
      <c r="A19" s="3" t="str">
        <f>$A$7</f>
        <v>Базовый</v>
      </c>
      <c r="B19" s="44">
        <v>83.421199999999999</v>
      </c>
      <c r="C19" s="8">
        <v>79.542699999999996</v>
      </c>
      <c r="D19" s="8">
        <v>87.4285</v>
      </c>
      <c r="E19" s="8">
        <v>91.998999999999995</v>
      </c>
      <c r="F19" s="9">
        <v>96.016900000000007</v>
      </c>
    </row>
    <row r="20" spans="1:6" s="2" customFormat="1" ht="18" customHeight="1" thickBot="1" x14ac:dyDescent="0.45">
      <c r="A20" s="4" t="str">
        <f>$A$8</f>
        <v>Консервативный</v>
      </c>
      <c r="B20" s="45"/>
      <c r="C20" s="10">
        <v>79.542699999999996</v>
      </c>
      <c r="D20" s="10">
        <v>89.031899999999993</v>
      </c>
      <c r="E20" s="10">
        <v>93.969700000000003</v>
      </c>
      <c r="F20" s="11">
        <v>98.626000000000005</v>
      </c>
    </row>
    <row r="21" spans="1:6" s="2" customFormat="1" ht="18" customHeight="1" x14ac:dyDescent="0.4">
      <c r="A21" s="34" t="s">
        <v>20</v>
      </c>
      <c r="B21" s="23"/>
      <c r="C21" s="24"/>
      <c r="D21" s="24"/>
      <c r="E21" s="24"/>
      <c r="F21" s="26"/>
    </row>
    <row r="22" spans="1:6" s="2" customFormat="1" ht="18" customHeight="1" x14ac:dyDescent="0.4">
      <c r="A22" s="3" t="str">
        <f>$A$7</f>
        <v>Базовый</v>
      </c>
      <c r="B22" s="44">
        <v>5.5900000000000034</v>
      </c>
      <c r="C22" s="8">
        <v>6.8400000000000034</v>
      </c>
      <c r="D22" s="8">
        <v>4.019999999999996</v>
      </c>
      <c r="E22" s="8">
        <v>4.0100000000000051</v>
      </c>
      <c r="F22" s="9">
        <v>4.019999999999996</v>
      </c>
    </row>
    <row r="23" spans="1:6" s="2" customFormat="1" ht="18" customHeight="1" thickBot="1" x14ac:dyDescent="0.45">
      <c r="A23" s="4" t="str">
        <f>$A$8</f>
        <v>Консервативный</v>
      </c>
      <c r="B23" s="45"/>
      <c r="C23" s="12">
        <v>6.8400000000000034</v>
      </c>
      <c r="D23" s="12">
        <v>5.3400000000000034</v>
      </c>
      <c r="E23" s="12">
        <v>4.0100000000000051</v>
      </c>
      <c r="F23" s="13">
        <v>4.019999999999996</v>
      </c>
    </row>
    <row r="24" spans="1:6" s="2" customFormat="1" ht="18" customHeight="1" x14ac:dyDescent="0.4">
      <c r="A24" s="36" t="s">
        <v>21</v>
      </c>
      <c r="B24" s="23"/>
      <c r="C24" s="31"/>
      <c r="D24" s="31"/>
      <c r="E24" s="32"/>
      <c r="F24" s="33"/>
    </row>
    <row r="25" spans="1:6" s="2" customFormat="1" ht="18" customHeight="1" x14ac:dyDescent="0.4">
      <c r="A25" s="3" t="str">
        <f>$A$7</f>
        <v>Базовый</v>
      </c>
      <c r="B25" s="44">
        <v>8.6899999999999977</v>
      </c>
      <c r="C25" s="8">
        <v>6.1099999999999994</v>
      </c>
      <c r="D25" s="8">
        <v>4.9899999999999949</v>
      </c>
      <c r="E25" s="8">
        <v>4</v>
      </c>
      <c r="F25" s="9">
        <v>4.019999999999996</v>
      </c>
    </row>
    <row r="26" spans="1:6" s="2" customFormat="1" ht="18" customHeight="1" thickBot="1" x14ac:dyDescent="0.45">
      <c r="A26" s="4" t="str">
        <f>$A$8</f>
        <v>Консервативный</v>
      </c>
      <c r="B26" s="45"/>
      <c r="C26" s="12">
        <v>6.1099999999999994</v>
      </c>
      <c r="D26" s="12">
        <v>5.6200000000000045</v>
      </c>
      <c r="E26" s="12">
        <v>4.6899999999999977</v>
      </c>
      <c r="F26" s="13">
        <v>4.019999999999996</v>
      </c>
    </row>
    <row r="27" spans="1:6" s="5" customFormat="1" ht="18" customHeight="1" x14ac:dyDescent="0.4">
      <c r="A27" s="34" t="s">
        <v>4</v>
      </c>
      <c r="B27" s="23"/>
      <c r="C27" s="24"/>
      <c r="D27" s="24"/>
      <c r="E27" s="25"/>
      <c r="F27" s="26"/>
    </row>
    <row r="28" spans="1:6" ht="18" customHeight="1" x14ac:dyDescent="0.2">
      <c r="A28" s="3" t="str">
        <f>$A$7</f>
        <v>Базовый</v>
      </c>
      <c r="B28" s="44">
        <v>1.0999999999999943</v>
      </c>
      <c r="C28" s="17">
        <v>-0.209699999999998</v>
      </c>
      <c r="D28" s="8">
        <v>2.2039999999999935</v>
      </c>
      <c r="E28" s="8">
        <v>2.734800000000007</v>
      </c>
      <c r="F28" s="9">
        <v>2.3709999999999951</v>
      </c>
    </row>
    <row r="29" spans="1:6" ht="18" customHeight="1" thickBot="1" x14ac:dyDescent="0.25">
      <c r="A29" s="4" t="str">
        <f>$A$8</f>
        <v>Консервативный</v>
      </c>
      <c r="B29" s="45"/>
      <c r="C29" s="18">
        <v>-0.209699999999998</v>
      </c>
      <c r="D29" s="12">
        <v>0.40149999999999864</v>
      </c>
      <c r="E29" s="12">
        <v>1.508899999999997</v>
      </c>
      <c r="F29" s="13">
        <v>1.6159999999999997</v>
      </c>
    </row>
    <row r="30" spans="1:6" s="5" customFormat="1" ht="18" customHeight="1" x14ac:dyDescent="0.4">
      <c r="A30" s="34" t="s">
        <v>5</v>
      </c>
      <c r="B30" s="23"/>
      <c r="C30" s="24"/>
      <c r="D30" s="24"/>
      <c r="E30" s="25"/>
      <c r="F30" s="26"/>
    </row>
    <row r="31" spans="1:6" s="5" customFormat="1" ht="18" customHeight="1" x14ac:dyDescent="0.4">
      <c r="A31" s="3" t="str">
        <f>$A$7</f>
        <v>Базовый</v>
      </c>
      <c r="B31" s="44">
        <v>-2.2999999999999972</v>
      </c>
      <c r="C31" s="17">
        <v>-5.3700000000000045</v>
      </c>
      <c r="D31" s="8">
        <v>0.23999999999999488</v>
      </c>
      <c r="E31" s="8">
        <v>2.5</v>
      </c>
      <c r="F31" s="9">
        <v>3</v>
      </c>
    </row>
    <row r="32" spans="1:6" s="5" customFormat="1" ht="18" customHeight="1" thickBot="1" x14ac:dyDescent="0.45">
      <c r="A32" s="4" t="str">
        <f>$A$8</f>
        <v>Консервативный</v>
      </c>
      <c r="B32" s="46"/>
      <c r="C32" s="19">
        <v>-5.3700000000000045</v>
      </c>
      <c r="D32" s="10">
        <v>-0.79999999999999716</v>
      </c>
      <c r="E32" s="10">
        <v>1.5999999999999943</v>
      </c>
      <c r="F32" s="11">
        <v>2.0999999999999943</v>
      </c>
    </row>
    <row r="33" spans="1:6" s="5" customFormat="1" ht="18" customHeight="1" x14ac:dyDescent="0.4">
      <c r="A33" s="34" t="s">
        <v>6</v>
      </c>
      <c r="B33" s="23"/>
      <c r="C33" s="24"/>
      <c r="D33" s="24"/>
      <c r="E33" s="25"/>
      <c r="F33" s="26"/>
    </row>
    <row r="34" spans="1:6" s="5" customFormat="1" ht="18" customHeight="1" x14ac:dyDescent="0.4">
      <c r="A34" s="3" t="str">
        <f>$A$7</f>
        <v>Базовый</v>
      </c>
      <c r="B34" s="44">
        <v>3.2999999999999972</v>
      </c>
      <c r="C34" s="17">
        <v>1.7000000000000028</v>
      </c>
      <c r="D34" s="8">
        <v>2.0999999999999943</v>
      </c>
      <c r="E34" s="8">
        <v>2.4399999999999977</v>
      </c>
      <c r="F34" s="9">
        <v>2.6700000000000017</v>
      </c>
    </row>
    <row r="35" spans="1:6" s="5" customFormat="1" ht="18" customHeight="1" thickBot="1" x14ac:dyDescent="0.45">
      <c r="A35" s="4" t="str">
        <f>$A$8</f>
        <v>Консервативный</v>
      </c>
      <c r="B35" s="46"/>
      <c r="C35" s="19">
        <v>1.7000000000000028</v>
      </c>
      <c r="D35" s="10">
        <v>1.25</v>
      </c>
      <c r="E35" s="10">
        <v>1.5499999999999972</v>
      </c>
      <c r="F35" s="11">
        <v>2.0499999999999972</v>
      </c>
    </row>
    <row r="36" spans="1:6" s="5" customFormat="1" ht="18" customHeight="1" x14ac:dyDescent="0.4">
      <c r="A36" s="34" t="s">
        <v>7</v>
      </c>
      <c r="B36" s="23"/>
      <c r="C36" s="24"/>
      <c r="D36" s="24"/>
      <c r="E36" s="25"/>
      <c r="F36" s="26"/>
    </row>
    <row r="37" spans="1:6" s="5" customFormat="1" ht="18" customHeight="1" x14ac:dyDescent="0.4">
      <c r="A37" s="3" t="str">
        <f>$A$7</f>
        <v>Базовый</v>
      </c>
      <c r="B37" s="44">
        <v>4.0999999999999943</v>
      </c>
      <c r="C37" s="17">
        <v>4.6400000000000006</v>
      </c>
      <c r="D37" s="8">
        <v>2.6400000000000006</v>
      </c>
      <c r="E37" s="8">
        <v>2.7999999999999972</v>
      </c>
      <c r="F37" s="9">
        <v>3.0999999999999943</v>
      </c>
    </row>
    <row r="38" spans="1:6" s="5" customFormat="1" ht="18" customHeight="1" thickBot="1" x14ac:dyDescent="0.45">
      <c r="A38" s="4" t="str">
        <f>$A$8</f>
        <v>Консервативный</v>
      </c>
      <c r="B38" s="46"/>
      <c r="C38" s="19">
        <v>4.6400000000000006</v>
      </c>
      <c r="D38" s="10">
        <v>1.8499999999999943</v>
      </c>
      <c r="E38" s="10">
        <v>2.1400000000000006</v>
      </c>
      <c r="F38" s="11">
        <v>2.6400000000000006</v>
      </c>
    </row>
    <row r="39" spans="1:6" s="5" customFormat="1" ht="18" customHeight="1" x14ac:dyDescent="0.4">
      <c r="A39" s="34" t="s">
        <v>8</v>
      </c>
      <c r="B39" s="23"/>
      <c r="C39" s="24"/>
      <c r="D39" s="24"/>
      <c r="E39" s="25"/>
      <c r="F39" s="26"/>
    </row>
    <row r="40" spans="1:6" s="5" customFormat="1" ht="18" customHeight="1" x14ac:dyDescent="0.4">
      <c r="A40" s="3" t="str">
        <f>$A$7</f>
        <v>Базовый</v>
      </c>
      <c r="B40" s="44">
        <v>7.4000000000000057</v>
      </c>
      <c r="C40" s="17">
        <v>0.9813000000000045</v>
      </c>
      <c r="D40" s="8">
        <v>1.441599999999994</v>
      </c>
      <c r="E40" s="8">
        <v>2.3515000000000015</v>
      </c>
      <c r="F40" s="9">
        <v>2.6916999999999973</v>
      </c>
    </row>
    <row r="41" spans="1:6" s="5" customFormat="1" ht="18" customHeight="1" thickBot="1" x14ac:dyDescent="0.45">
      <c r="A41" s="4" t="str">
        <f>$A$8</f>
        <v>Консервативный</v>
      </c>
      <c r="B41" s="46"/>
      <c r="C41" s="19">
        <v>0.9813000000000045</v>
      </c>
      <c r="D41" s="10">
        <v>0.47729999999999961</v>
      </c>
      <c r="E41" s="10">
        <v>1.4223999999999961</v>
      </c>
      <c r="F41" s="11">
        <v>2.2734999999999985</v>
      </c>
    </row>
    <row r="42" spans="1:6" s="5" customFormat="1" ht="18" customHeight="1" x14ac:dyDescent="0.4">
      <c r="A42" s="34" t="s">
        <v>9</v>
      </c>
      <c r="B42" s="23"/>
      <c r="C42" s="24"/>
      <c r="D42" s="24"/>
      <c r="E42" s="25"/>
      <c r="F42" s="26"/>
    </row>
    <row r="43" spans="1:6" s="5" customFormat="1" ht="18" customHeight="1" x14ac:dyDescent="0.4">
      <c r="A43" s="3" t="str">
        <f>$A$7</f>
        <v>Базовый</v>
      </c>
      <c r="B43" s="44">
        <v>5.2000000000000028</v>
      </c>
      <c r="C43" s="17">
        <v>3.9594000000000023</v>
      </c>
      <c r="D43" s="8">
        <v>1.7706000000000017</v>
      </c>
      <c r="E43" s="8">
        <v>2.7801999999999936</v>
      </c>
      <c r="F43" s="9">
        <v>2.9763999999999982</v>
      </c>
    </row>
    <row r="44" spans="1:6" s="5" customFormat="1" ht="18" customHeight="1" thickBot="1" x14ac:dyDescent="0.45">
      <c r="A44" s="4" t="str">
        <f>$A$8</f>
        <v>Консервативный</v>
      </c>
      <c r="B44" s="46"/>
      <c r="C44" s="19">
        <v>3.9594000000000023</v>
      </c>
      <c r="D44" s="10">
        <v>0.86820000000000164</v>
      </c>
      <c r="E44" s="10">
        <v>1.7155000000000058</v>
      </c>
      <c r="F44" s="11">
        <v>2.4518000000000058</v>
      </c>
    </row>
    <row r="45" spans="1:6" s="5" customFormat="1" ht="18" customHeight="1" x14ac:dyDescent="0.4">
      <c r="A45" s="34" t="s">
        <v>10</v>
      </c>
      <c r="B45" s="23"/>
      <c r="C45" s="24"/>
      <c r="D45" s="24"/>
      <c r="E45" s="25"/>
      <c r="F45" s="26"/>
    </row>
    <row r="46" spans="1:6" s="5" customFormat="1" ht="18" customHeight="1" x14ac:dyDescent="0.4">
      <c r="A46" s="3" t="str">
        <f>$A$7</f>
        <v>Базовый</v>
      </c>
      <c r="B46" s="44">
        <v>0.29999999999999716</v>
      </c>
      <c r="C46" s="17">
        <v>0.65399999999999636</v>
      </c>
      <c r="D46" s="8">
        <v>1.3104000000000013</v>
      </c>
      <c r="E46" s="8">
        <v>1.7506999999999948</v>
      </c>
      <c r="F46" s="9">
        <v>2.3673000000000002</v>
      </c>
    </row>
    <row r="47" spans="1:6" s="5" customFormat="1" ht="18" customHeight="1" thickBot="1" x14ac:dyDescent="0.45">
      <c r="A47" s="4" t="str">
        <f>$A$8</f>
        <v>Консервативный</v>
      </c>
      <c r="B47" s="46"/>
      <c r="C47" s="19">
        <v>0.65399999999999636</v>
      </c>
      <c r="D47" s="10">
        <v>0.64919999999999334</v>
      </c>
      <c r="E47" s="10">
        <v>1.151600000000002</v>
      </c>
      <c r="F47" s="11">
        <v>1.7677000000000049</v>
      </c>
    </row>
    <row r="48" spans="1:6" s="5" customFormat="1" ht="18" customHeight="1" x14ac:dyDescent="0.4">
      <c r="A48" s="34" t="s">
        <v>11</v>
      </c>
      <c r="B48" s="23"/>
      <c r="C48" s="24"/>
      <c r="D48" s="24"/>
      <c r="E48" s="25"/>
      <c r="F48" s="26"/>
    </row>
    <row r="49" spans="1:6" s="5" customFormat="1" ht="18" customHeight="1" x14ac:dyDescent="0.4">
      <c r="A49" s="3" t="str">
        <f>$A$7</f>
        <v>Базовый</v>
      </c>
      <c r="B49" s="47">
        <v>419.52409999999998</v>
      </c>
      <c r="C49" s="17">
        <v>439.08670000000001</v>
      </c>
      <c r="D49" s="8">
        <v>423.78109999999998</v>
      </c>
      <c r="E49" s="8">
        <v>435.43939999999998</v>
      </c>
      <c r="F49" s="9">
        <v>452.64920000000001</v>
      </c>
    </row>
    <row r="50" spans="1:6" s="5" customFormat="1" ht="18" customHeight="1" x14ac:dyDescent="0.4">
      <c r="A50" s="3" t="str">
        <f>$A$8</f>
        <v>Консервативный</v>
      </c>
      <c r="B50" s="47"/>
      <c r="C50" s="19">
        <v>439.08670000000001</v>
      </c>
      <c r="D50" s="10">
        <v>397.6925</v>
      </c>
      <c r="E50" s="10">
        <v>397.3141</v>
      </c>
      <c r="F50" s="11">
        <v>410.68529999999998</v>
      </c>
    </row>
    <row r="51" spans="1:6" s="5" customFormat="1" ht="18" customHeight="1" x14ac:dyDescent="0.4">
      <c r="A51" s="37" t="s">
        <v>27</v>
      </c>
      <c r="B51" s="27"/>
      <c r="C51" s="28"/>
      <c r="D51" s="28"/>
      <c r="E51" s="29"/>
      <c r="F51" s="30"/>
    </row>
    <row r="52" spans="1:6" s="5" customFormat="1" ht="18" customHeight="1" x14ac:dyDescent="0.4">
      <c r="A52" s="3" t="str">
        <f>$A$7</f>
        <v>Базовый</v>
      </c>
      <c r="B52" s="47">
        <v>-1.5999999999999943</v>
      </c>
      <c r="C52" s="17">
        <v>-0.85699999999999932</v>
      </c>
      <c r="D52" s="8">
        <v>2.4746999999999986</v>
      </c>
      <c r="E52" s="8">
        <v>3.4761000000000024</v>
      </c>
      <c r="F52" s="9">
        <v>3.893100000000004</v>
      </c>
    </row>
    <row r="53" spans="1:6" s="5" customFormat="1" ht="18" customHeight="1" x14ac:dyDescent="0.4">
      <c r="A53" s="3" t="str">
        <f>$A$8</f>
        <v>Консервативный</v>
      </c>
      <c r="B53" s="47"/>
      <c r="C53" s="19">
        <v>-0.85699999999999932</v>
      </c>
      <c r="D53" s="10">
        <v>0.60290000000000532</v>
      </c>
      <c r="E53" s="10">
        <v>2.1167999999999978</v>
      </c>
      <c r="F53" s="11">
        <v>3.2052000000000049</v>
      </c>
    </row>
    <row r="54" spans="1:6" s="5" customFormat="1" ht="18" customHeight="1" x14ac:dyDescent="0.4">
      <c r="A54" s="37" t="s">
        <v>12</v>
      </c>
      <c r="B54" s="27"/>
      <c r="C54" s="28"/>
      <c r="D54" s="28"/>
      <c r="E54" s="29"/>
      <c r="F54" s="30"/>
    </row>
    <row r="55" spans="1:6" s="5" customFormat="1" ht="18" customHeight="1" x14ac:dyDescent="0.4">
      <c r="A55" s="3" t="str">
        <f>$A$7</f>
        <v>Базовый</v>
      </c>
      <c r="B55" s="47">
        <v>16.333910516823419</v>
      </c>
      <c r="C55" s="17">
        <v>15.033759450109752</v>
      </c>
      <c r="D55" s="8">
        <v>14.92032188559301</v>
      </c>
      <c r="E55" s="8">
        <v>15.19010262664329</v>
      </c>
      <c r="F55" s="9">
        <v>15.429907539091914</v>
      </c>
    </row>
    <row r="56" spans="1:6" s="5" customFormat="1" ht="18" customHeight="1" thickBot="1" x14ac:dyDescent="0.45">
      <c r="A56" s="4" t="str">
        <f>$A$8</f>
        <v>Консервативный</v>
      </c>
      <c r="B56" s="45"/>
      <c r="C56" s="18">
        <v>15.033759450109752</v>
      </c>
      <c r="D56" s="12">
        <v>14.376097999310705</v>
      </c>
      <c r="E56" s="12">
        <v>14.355421720540706</v>
      </c>
      <c r="F56" s="13">
        <v>14.663786664760552</v>
      </c>
    </row>
    <row r="57" spans="1:6" s="5" customFormat="1" ht="18" customHeight="1" x14ac:dyDescent="0.4">
      <c r="A57" s="34" t="s">
        <v>13</v>
      </c>
      <c r="B57" s="23"/>
      <c r="C57" s="24"/>
      <c r="D57" s="24"/>
      <c r="E57" s="25"/>
      <c r="F57" s="26"/>
    </row>
    <row r="58" spans="1:6" s="5" customFormat="1" ht="18" customHeight="1" x14ac:dyDescent="0.4">
      <c r="A58" s="3" t="str">
        <f>$A$7</f>
        <v>Базовый</v>
      </c>
      <c r="B58" s="47">
        <v>217.06809999999999</v>
      </c>
      <c r="C58" s="17">
        <v>219.6532</v>
      </c>
      <c r="D58" s="8">
        <v>229.69329999999999</v>
      </c>
      <c r="E58" s="8">
        <v>243.41300000000001</v>
      </c>
      <c r="F58" s="9">
        <v>259.63099999999997</v>
      </c>
    </row>
    <row r="59" spans="1:6" s="5" customFormat="1" ht="18" customHeight="1" x14ac:dyDescent="0.4">
      <c r="A59" s="3" t="str">
        <f>$A$8</f>
        <v>Консервативный</v>
      </c>
      <c r="B59" s="47"/>
      <c r="C59" s="19">
        <v>219.6532</v>
      </c>
      <c r="D59" s="10">
        <v>226.28280000000001</v>
      </c>
      <c r="E59" s="10">
        <v>237.26840000000001</v>
      </c>
      <c r="F59" s="11">
        <v>250.68860000000001</v>
      </c>
    </row>
    <row r="60" spans="1:6" s="5" customFormat="1" ht="18" customHeight="1" x14ac:dyDescent="0.4">
      <c r="A60" s="37" t="s">
        <v>27</v>
      </c>
      <c r="B60" s="27"/>
      <c r="C60" s="28"/>
      <c r="D60" s="28"/>
      <c r="E60" s="29"/>
      <c r="F60" s="30"/>
    </row>
    <row r="61" spans="1:6" s="5" customFormat="1" ht="18" customHeight="1" x14ac:dyDescent="0.4">
      <c r="A61" s="3" t="str">
        <f>$A$7</f>
        <v>Базовый</v>
      </c>
      <c r="B61" s="47">
        <v>0.84439999999999316</v>
      </c>
      <c r="C61" s="17">
        <v>0.15569999999999595</v>
      </c>
      <c r="D61" s="8">
        <v>2.8525999999999954</v>
      </c>
      <c r="E61" s="8">
        <v>4.0468999999999937</v>
      </c>
      <c r="F61" s="9">
        <v>4.7664000000000044</v>
      </c>
    </row>
    <row r="62" spans="1:6" s="5" customFormat="1" ht="18" customHeight="1" x14ac:dyDescent="0.4">
      <c r="A62" s="3" t="str">
        <f>$A$8</f>
        <v>Консервативный</v>
      </c>
      <c r="B62" s="47"/>
      <c r="C62" s="19">
        <v>0.15569999999999595</v>
      </c>
      <c r="D62" s="10">
        <v>1.9462000000000046</v>
      </c>
      <c r="E62" s="10">
        <v>3.0170999999999992</v>
      </c>
      <c r="F62" s="11">
        <v>3.8187000000000069</v>
      </c>
    </row>
    <row r="63" spans="1:6" s="5" customFormat="1" ht="18" customHeight="1" x14ac:dyDescent="0.4">
      <c r="A63" s="37" t="s">
        <v>12</v>
      </c>
      <c r="B63" s="27"/>
      <c r="C63" s="28"/>
      <c r="D63" s="28"/>
      <c r="E63" s="29"/>
      <c r="F63" s="30"/>
    </row>
    <row r="64" spans="1:6" s="5" customFormat="1" ht="18" customHeight="1" x14ac:dyDescent="0.4">
      <c r="A64" s="3" t="str">
        <f>$A$7</f>
        <v>Базовый</v>
      </c>
      <c r="B64" s="44">
        <v>8.4514117817233334</v>
      </c>
      <c r="C64" s="17">
        <v>7.5206408466638743</v>
      </c>
      <c r="D64" s="8">
        <v>8.0869533137841234</v>
      </c>
      <c r="E64" s="8">
        <v>8.4913502330269672</v>
      </c>
      <c r="F64" s="9">
        <v>8.8503024511740485</v>
      </c>
    </row>
    <row r="65" spans="1:6" s="5" customFormat="1" ht="18" customHeight="1" thickBot="1" x14ac:dyDescent="0.45">
      <c r="A65" s="4" t="str">
        <f>$A$8</f>
        <v>Консервативный</v>
      </c>
      <c r="B65" s="46"/>
      <c r="C65" s="19">
        <v>7.5206408466638743</v>
      </c>
      <c r="D65" s="10">
        <v>8.1798467619037947</v>
      </c>
      <c r="E65" s="10">
        <v>8.5727839584800574</v>
      </c>
      <c r="F65" s="11">
        <v>8.9510000715572051</v>
      </c>
    </row>
    <row r="66" spans="1:6" s="5" customFormat="1" ht="18" customHeight="1" x14ac:dyDescent="0.4">
      <c r="A66" s="34" t="s">
        <v>14</v>
      </c>
      <c r="B66" s="23"/>
      <c r="C66" s="24"/>
      <c r="D66" s="24"/>
      <c r="E66" s="25"/>
      <c r="F66" s="26"/>
    </row>
    <row r="67" spans="1:6" s="5" customFormat="1" ht="18" customHeight="1" x14ac:dyDescent="0.4">
      <c r="A67" s="3" t="str">
        <f>$A$7</f>
        <v>Базовый</v>
      </c>
      <c r="B67" s="47">
        <v>202.45599999999999</v>
      </c>
      <c r="C67" s="17">
        <v>219.43350000000001</v>
      </c>
      <c r="D67" s="8">
        <v>194.08779999999999</v>
      </c>
      <c r="E67" s="8">
        <v>192.0264</v>
      </c>
      <c r="F67" s="9">
        <v>193.01820000000001</v>
      </c>
    </row>
    <row r="68" spans="1:6" s="5" customFormat="1" ht="18" customHeight="1" x14ac:dyDescent="0.4">
      <c r="A68" s="3" t="str">
        <f>$A$8</f>
        <v>Консервативный</v>
      </c>
      <c r="B68" s="47"/>
      <c r="C68" s="19">
        <v>219.43350000000001</v>
      </c>
      <c r="D68" s="10">
        <v>171.40960000000001</v>
      </c>
      <c r="E68" s="10">
        <v>160.04570000000001</v>
      </c>
      <c r="F68" s="11">
        <v>159.9967</v>
      </c>
    </row>
    <row r="69" spans="1:6" s="5" customFormat="1" ht="18" customHeight="1" x14ac:dyDescent="0.4">
      <c r="A69" s="37" t="s">
        <v>27</v>
      </c>
      <c r="B69" s="27"/>
      <c r="C69" s="28"/>
      <c r="D69" s="28"/>
      <c r="E69" s="29"/>
      <c r="F69" s="30"/>
    </row>
    <row r="70" spans="1:6" s="5" customFormat="1" ht="18" customHeight="1" x14ac:dyDescent="0.4">
      <c r="A70" s="3" t="str">
        <f>$A$7</f>
        <v>Базовый</v>
      </c>
      <c r="B70" s="47">
        <v>-3.6572000000000031</v>
      </c>
      <c r="C70" s="17">
        <v>-1.9427000000000021</v>
      </c>
      <c r="D70" s="8">
        <v>2.096500000000006</v>
      </c>
      <c r="E70" s="8">
        <v>2.8006000000000029</v>
      </c>
      <c r="F70" s="9">
        <v>2.7861999999999938</v>
      </c>
    </row>
    <row r="71" spans="1:6" s="5" customFormat="1" ht="18" customHeight="1" x14ac:dyDescent="0.4">
      <c r="A71" s="3" t="str">
        <f>$A$8</f>
        <v>Консервативный</v>
      </c>
      <c r="B71" s="47"/>
      <c r="C71" s="19">
        <v>-1.9427000000000021</v>
      </c>
      <c r="D71" s="10">
        <v>-0.74179999999999779</v>
      </c>
      <c r="E71" s="10">
        <v>0.92829999999999302</v>
      </c>
      <c r="F71" s="11">
        <v>2.2959000000000032</v>
      </c>
    </row>
    <row r="72" spans="1:6" s="5" customFormat="1" ht="18" customHeight="1" x14ac:dyDescent="0.4">
      <c r="A72" s="37" t="s">
        <v>12</v>
      </c>
      <c r="B72" s="27"/>
      <c r="C72" s="28"/>
      <c r="D72" s="28"/>
      <c r="E72" s="29"/>
      <c r="F72" s="30"/>
    </row>
    <row r="73" spans="1:6" s="5" customFormat="1" ht="18" customHeight="1" x14ac:dyDescent="0.4">
      <c r="A73" s="3" t="str">
        <f>$A$7</f>
        <v>Базовый</v>
      </c>
      <c r="B73" s="44">
        <v>7.8824987351000866</v>
      </c>
      <c r="C73" s="17">
        <v>7.5131186034458759</v>
      </c>
      <c r="D73" s="8">
        <v>6.8333685718088857</v>
      </c>
      <c r="E73" s="8">
        <v>6.6987523936163207</v>
      </c>
      <c r="F73" s="9">
        <v>6.579605087917864</v>
      </c>
    </row>
    <row r="74" spans="1:6" s="5" customFormat="1" ht="18" customHeight="1" thickBot="1" x14ac:dyDescent="0.45">
      <c r="A74" s="4" t="str">
        <f>$A$8</f>
        <v>Консервативный</v>
      </c>
      <c r="B74" s="46"/>
      <c r="C74" s="19">
        <v>7.5131186034458759</v>
      </c>
      <c r="D74" s="10">
        <v>6.1962476225290866</v>
      </c>
      <c r="E74" s="10">
        <v>5.7826377620606513</v>
      </c>
      <c r="F74" s="11">
        <v>5.7127865932033473</v>
      </c>
    </row>
    <row r="75" spans="1:6" s="5" customFormat="1" ht="18" customHeight="1" x14ac:dyDescent="0.4">
      <c r="A75" s="34" t="s">
        <v>32</v>
      </c>
      <c r="B75" s="23"/>
      <c r="C75" s="24"/>
      <c r="D75" s="24"/>
      <c r="E75" s="25"/>
      <c r="F75" s="26"/>
    </row>
    <row r="76" spans="1:6" s="5" customFormat="1" ht="18" customHeight="1" x14ac:dyDescent="0.4">
      <c r="A76" s="3" t="str">
        <f>$A$7</f>
        <v>Базовый</v>
      </c>
      <c r="B76" s="47">
        <v>46.264099999999999</v>
      </c>
      <c r="C76" s="17">
        <v>48.227499999999999</v>
      </c>
      <c r="D76" s="8">
        <v>50.6678</v>
      </c>
      <c r="E76" s="8">
        <v>53.49</v>
      </c>
      <c r="F76" s="9">
        <v>56.4694</v>
      </c>
    </row>
    <row r="77" spans="1:6" s="5" customFormat="1" ht="18" customHeight="1" x14ac:dyDescent="0.4">
      <c r="A77" s="3" t="str">
        <f>$A$8</f>
        <v>Консервативный</v>
      </c>
      <c r="B77" s="47"/>
      <c r="C77" s="19">
        <v>48.227499999999999</v>
      </c>
      <c r="D77" s="10">
        <v>49.93</v>
      </c>
      <c r="E77" s="10">
        <v>52.201799999999999</v>
      </c>
      <c r="F77" s="11">
        <v>55.109400000000001</v>
      </c>
    </row>
    <row r="78" spans="1:6" s="5" customFormat="1" ht="18" customHeight="1" x14ac:dyDescent="0.4">
      <c r="A78" s="38" t="s">
        <v>27</v>
      </c>
      <c r="B78" s="27"/>
      <c r="C78" s="28"/>
      <c r="D78" s="28"/>
      <c r="E78" s="29"/>
      <c r="F78" s="30"/>
    </row>
    <row r="79" spans="1:6" s="5" customFormat="1" ht="18" customHeight="1" x14ac:dyDescent="0.4">
      <c r="A79" s="3" t="str">
        <f>$A$7</f>
        <v>Базовый</v>
      </c>
      <c r="B79" s="47">
        <v>5.0999999999999943</v>
      </c>
      <c r="C79" s="17">
        <v>2</v>
      </c>
      <c r="D79" s="8">
        <v>3</v>
      </c>
      <c r="E79" s="8">
        <v>3.5</v>
      </c>
      <c r="F79" s="9">
        <v>3.5</v>
      </c>
    </row>
    <row r="80" spans="1:6" s="5" customFormat="1" ht="18" customHeight="1" x14ac:dyDescent="0.4">
      <c r="A80" s="3" t="str">
        <f>$A$8</f>
        <v>Консервативный</v>
      </c>
      <c r="B80" s="47"/>
      <c r="C80" s="19">
        <v>2</v>
      </c>
      <c r="D80" s="10">
        <v>1.5</v>
      </c>
      <c r="E80" s="10">
        <v>2.5</v>
      </c>
      <c r="F80" s="11">
        <v>3.5</v>
      </c>
    </row>
    <row r="81" spans="1:6" s="5" customFormat="1" ht="18" customHeight="1" x14ac:dyDescent="0.4">
      <c r="A81" s="38" t="s">
        <v>12</v>
      </c>
      <c r="B81" s="27"/>
      <c r="C81" s="28"/>
      <c r="D81" s="28"/>
      <c r="E81" s="29"/>
      <c r="F81" s="30"/>
    </row>
    <row r="82" spans="1:6" s="5" customFormat="1" ht="18" customHeight="1" x14ac:dyDescent="0.4">
      <c r="A82" s="3" t="str">
        <f>$A$7</f>
        <v>Базовый</v>
      </c>
      <c r="B82" s="44">
        <v>1.8012640264084241</v>
      </c>
      <c r="C82" s="17">
        <v>1.6512470860086812</v>
      </c>
      <c r="D82" s="8">
        <v>1.7838924039671646</v>
      </c>
      <c r="E82" s="8">
        <v>1.8659739782370395</v>
      </c>
      <c r="F82" s="9">
        <v>1.924929107989138</v>
      </c>
    </row>
    <row r="83" spans="1:6" s="5" customFormat="1" ht="18" customHeight="1" thickBot="1" x14ac:dyDescent="0.45">
      <c r="A83" s="4" t="str">
        <f>$A$8</f>
        <v>Консервативный</v>
      </c>
      <c r="B83" s="45"/>
      <c r="C83" s="18">
        <v>1.6512470860086812</v>
      </c>
      <c r="D83" s="12">
        <v>1.8049084986656365</v>
      </c>
      <c r="E83" s="12">
        <v>1.8861119038345777</v>
      </c>
      <c r="F83" s="13">
        <v>1.9677170934118047</v>
      </c>
    </row>
    <row r="84" spans="1:6" s="5" customFormat="1" ht="18" customHeight="1" x14ac:dyDescent="0.4">
      <c r="A84" s="34" t="s">
        <v>31</v>
      </c>
      <c r="B84" s="23"/>
      <c r="C84" s="24"/>
      <c r="D84" s="24"/>
      <c r="E84" s="25"/>
      <c r="F84" s="26"/>
    </row>
    <row r="85" spans="1:6" s="5" customFormat="1" ht="18" customHeight="1" x14ac:dyDescent="0.4">
      <c r="A85" s="3" t="str">
        <f>$A$7</f>
        <v>Базовый</v>
      </c>
      <c r="B85" s="47">
        <v>306.3544</v>
      </c>
      <c r="C85" s="17">
        <v>318.32119999999998</v>
      </c>
      <c r="D85" s="8">
        <v>333.09589999999997</v>
      </c>
      <c r="E85" s="8">
        <v>348.34559999999999</v>
      </c>
      <c r="F85" s="9">
        <v>365.30250000000001</v>
      </c>
    </row>
    <row r="86" spans="1:6" s="5" customFormat="1" ht="18" customHeight="1" x14ac:dyDescent="0.4">
      <c r="A86" s="3" t="str">
        <f>$A$8</f>
        <v>Консервативный</v>
      </c>
      <c r="B86" s="47"/>
      <c r="C86" s="19">
        <v>318.32119999999998</v>
      </c>
      <c r="D86" s="10">
        <v>326.48110000000003</v>
      </c>
      <c r="E86" s="10">
        <v>337.8014</v>
      </c>
      <c r="F86" s="11">
        <v>353.15480000000002</v>
      </c>
    </row>
    <row r="87" spans="1:6" s="5" customFormat="1" ht="18" customHeight="1" x14ac:dyDescent="0.4">
      <c r="A87" s="38" t="s">
        <v>27</v>
      </c>
      <c r="B87" s="27"/>
      <c r="C87" s="28"/>
      <c r="D87" s="28"/>
      <c r="E87" s="29"/>
      <c r="F87" s="30"/>
    </row>
    <row r="88" spans="1:6" s="5" customFormat="1" ht="18" customHeight="1" x14ac:dyDescent="0.4">
      <c r="A88" s="3" t="str">
        <f>$A$7</f>
        <v>Базовый</v>
      </c>
      <c r="B88" s="47">
        <v>-3.2000000000000028</v>
      </c>
      <c r="C88" s="17">
        <v>1.2399999999999949</v>
      </c>
      <c r="D88" s="8">
        <v>2.4346000000000032</v>
      </c>
      <c r="E88" s="8">
        <v>2.5628999999999991</v>
      </c>
      <c r="F88" s="9">
        <v>2.8508999999999958</v>
      </c>
    </row>
    <row r="89" spans="1:6" s="5" customFormat="1" ht="18" customHeight="1" x14ac:dyDescent="0.4">
      <c r="A89" s="3" t="str">
        <f>$A$8</f>
        <v>Консервативный</v>
      </c>
      <c r="B89" s="47"/>
      <c r="C89" s="19">
        <v>1.2399999999999949</v>
      </c>
      <c r="D89" s="10">
        <v>0.87210000000000321</v>
      </c>
      <c r="E89" s="10">
        <v>1.5811000000000064</v>
      </c>
      <c r="F89" s="11">
        <v>2.457800000000006</v>
      </c>
    </row>
    <row r="90" spans="1:6" s="5" customFormat="1" ht="18" customHeight="1" x14ac:dyDescent="0.4">
      <c r="A90" s="38" t="s">
        <v>12</v>
      </c>
      <c r="B90" s="27"/>
      <c r="C90" s="28"/>
      <c r="D90" s="28"/>
      <c r="E90" s="29"/>
      <c r="F90" s="30"/>
    </row>
    <row r="91" spans="1:6" s="5" customFormat="1" ht="18" customHeight="1" x14ac:dyDescent="0.4">
      <c r="A91" s="3" t="str">
        <f>$A$7</f>
        <v>Базовый</v>
      </c>
      <c r="B91" s="47">
        <v>11.927718469654375</v>
      </c>
      <c r="C91" s="17">
        <v>10.898905270121539</v>
      </c>
      <c r="D91" s="8">
        <v>11.727512262277152</v>
      </c>
      <c r="E91" s="8">
        <v>12.151875584845175</v>
      </c>
      <c r="F91" s="9">
        <v>12.452432918911871</v>
      </c>
    </row>
    <row r="92" spans="1:6" s="5" customFormat="1" ht="18" customHeight="1" thickBot="1" x14ac:dyDescent="0.45">
      <c r="A92" s="4" t="str">
        <f>$A$8</f>
        <v>Консервативный</v>
      </c>
      <c r="B92" s="45"/>
      <c r="C92" s="18">
        <v>10.898905270121539</v>
      </c>
      <c r="D92" s="12">
        <v>11.801892890921401</v>
      </c>
      <c r="E92" s="12">
        <v>12.205158474841591</v>
      </c>
      <c r="F92" s="13">
        <v>12.60962261575026</v>
      </c>
    </row>
    <row r="93" spans="1:6" s="5" customFormat="1" ht="18" customHeight="1" x14ac:dyDescent="0.4">
      <c r="A93" s="34" t="s">
        <v>33</v>
      </c>
      <c r="B93" s="23"/>
      <c r="C93" s="24"/>
      <c r="D93" s="24"/>
      <c r="E93" s="25"/>
      <c r="F93" s="26"/>
    </row>
    <row r="94" spans="1:6" s="5" customFormat="1" ht="18" customHeight="1" x14ac:dyDescent="0.4">
      <c r="A94" s="3" t="str">
        <f>$A$7</f>
        <v>Базовый</v>
      </c>
      <c r="B94" s="44">
        <v>94.898700000000005</v>
      </c>
      <c r="C94" s="8">
        <v>98.520499999999998</v>
      </c>
      <c r="D94" s="8">
        <v>101.9983</v>
      </c>
      <c r="E94" s="8">
        <v>106.119</v>
      </c>
      <c r="F94" s="9">
        <v>110.4062</v>
      </c>
    </row>
    <row r="95" spans="1:6" s="5" customFormat="1" ht="18" customHeight="1" x14ac:dyDescent="0.4">
      <c r="A95" s="3" t="str">
        <f>$A$8</f>
        <v>Консервативный</v>
      </c>
      <c r="B95" s="46"/>
      <c r="C95" s="10">
        <v>98.520499999999998</v>
      </c>
      <c r="D95" s="10">
        <v>101.4958</v>
      </c>
      <c r="E95" s="10">
        <v>105.0787</v>
      </c>
      <c r="F95" s="11">
        <v>109.32380000000001</v>
      </c>
    </row>
    <row r="96" spans="1:6" s="5" customFormat="1" ht="18" customHeight="1" x14ac:dyDescent="0.4">
      <c r="A96" s="38" t="s">
        <v>27</v>
      </c>
      <c r="B96" s="27"/>
      <c r="C96" s="28"/>
      <c r="D96" s="28"/>
      <c r="E96" s="29"/>
      <c r="F96" s="30"/>
    </row>
    <row r="97" spans="1:6" s="5" customFormat="1" ht="18" customHeight="1" x14ac:dyDescent="0.4">
      <c r="A97" s="3" t="str">
        <f>$A$7</f>
        <v>Базовый</v>
      </c>
      <c r="B97" s="44">
        <v>7.5999999999999943</v>
      </c>
      <c r="C97" s="8">
        <v>0.5</v>
      </c>
      <c r="D97" s="8">
        <v>1.5</v>
      </c>
      <c r="E97" s="8">
        <v>2</v>
      </c>
      <c r="F97" s="9">
        <v>2</v>
      </c>
    </row>
    <row r="98" spans="1:6" s="5" customFormat="1" ht="18" customHeight="1" x14ac:dyDescent="0.4">
      <c r="A98" s="3" t="str">
        <f>$A$8</f>
        <v>Консервативный</v>
      </c>
      <c r="B98" s="46"/>
      <c r="C98" s="10">
        <v>0.5</v>
      </c>
      <c r="D98" s="10">
        <v>1</v>
      </c>
      <c r="E98" s="10">
        <v>1.5</v>
      </c>
      <c r="F98" s="11">
        <v>2</v>
      </c>
    </row>
    <row r="99" spans="1:6" s="5" customFormat="1" ht="18" customHeight="1" x14ac:dyDescent="0.4">
      <c r="A99" s="38" t="s">
        <v>12</v>
      </c>
      <c r="B99" s="27"/>
      <c r="C99" s="28"/>
      <c r="D99" s="28"/>
      <c r="E99" s="29"/>
      <c r="F99" s="30"/>
    </row>
    <row r="100" spans="1:6" s="5" customFormat="1" ht="18" customHeight="1" x14ac:dyDescent="0.4">
      <c r="A100" s="3" t="str">
        <f>$A$7</f>
        <v>Базовый</v>
      </c>
      <c r="B100" s="44">
        <v>3.6948219994104532</v>
      </c>
      <c r="C100" s="8">
        <v>3.373214214651771</v>
      </c>
      <c r="D100" s="8">
        <v>3.5911168945082297</v>
      </c>
      <c r="E100" s="8">
        <v>3.7019123686022883</v>
      </c>
      <c r="F100" s="9">
        <v>3.76352693817307</v>
      </c>
    </row>
    <row r="101" spans="1:6" s="5" customFormat="1" ht="18" customHeight="1" thickBot="1" x14ac:dyDescent="0.45">
      <c r="A101" s="4" t="str">
        <f>$A$8</f>
        <v>Консервативный</v>
      </c>
      <c r="B101" s="45"/>
      <c r="C101" s="12">
        <v>3.373214214651771</v>
      </c>
      <c r="D101" s="12">
        <v>3.6689491688136933</v>
      </c>
      <c r="E101" s="12">
        <v>3.7966159578685503</v>
      </c>
      <c r="F101" s="13">
        <v>3.9034776277138472</v>
      </c>
    </row>
    <row r="102" spans="1:6" s="5" customFormat="1" ht="18" customHeight="1" x14ac:dyDescent="0.4">
      <c r="A102" s="34" t="s">
        <v>34</v>
      </c>
      <c r="B102" s="23"/>
      <c r="C102" s="24"/>
      <c r="D102" s="24"/>
      <c r="E102" s="25"/>
      <c r="F102" s="26"/>
    </row>
    <row r="103" spans="1:6" s="5" customFormat="1" ht="18" customHeight="1" x14ac:dyDescent="0.4">
      <c r="A103" s="3" t="str">
        <f>$A$7</f>
        <v>Базовый</v>
      </c>
      <c r="B103" s="44">
        <v>113.16970000000001</v>
      </c>
      <c r="C103" s="8">
        <v>120.7655</v>
      </c>
      <c r="D103" s="8">
        <v>90.685199999999995</v>
      </c>
      <c r="E103" s="8">
        <v>87.093800000000002</v>
      </c>
      <c r="F103" s="9">
        <v>87.346599999999995</v>
      </c>
    </row>
    <row r="104" spans="1:6" s="5" customFormat="1" ht="18" customHeight="1" x14ac:dyDescent="0.4">
      <c r="A104" s="3" t="str">
        <f>$A$8</f>
        <v>Консервативный</v>
      </c>
      <c r="B104" s="46"/>
      <c r="C104" s="10">
        <v>120.7655</v>
      </c>
      <c r="D104" s="10">
        <v>71.211399999999998</v>
      </c>
      <c r="E104" s="10">
        <v>59.512700000000002</v>
      </c>
      <c r="F104" s="11">
        <v>57.530500000000004</v>
      </c>
    </row>
    <row r="105" spans="1:6" s="5" customFormat="1" ht="18" customHeight="1" x14ac:dyDescent="0.4">
      <c r="A105" s="38" t="s">
        <v>12</v>
      </c>
      <c r="B105" s="27"/>
      <c r="C105" s="28"/>
      <c r="D105" s="28"/>
      <c r="E105" s="29"/>
      <c r="F105" s="30"/>
    </row>
    <row r="106" spans="1:6" s="5" customFormat="1" ht="18" customHeight="1" x14ac:dyDescent="0.4">
      <c r="A106" s="3" t="str">
        <f>$A$7</f>
        <v>Базовый</v>
      </c>
      <c r="B106" s="44">
        <v>4.4061920471690454</v>
      </c>
      <c r="C106" s="8">
        <v>4.1348541799882099</v>
      </c>
      <c r="D106" s="8">
        <v>3.1928096233158558</v>
      </c>
      <c r="E106" s="8">
        <v>3.038227041798113</v>
      </c>
      <c r="F106" s="9">
        <v>2.9774712113796857</v>
      </c>
    </row>
    <row r="107" spans="1:6" s="5" customFormat="1" ht="18" customHeight="1" thickBot="1" x14ac:dyDescent="0.45">
      <c r="A107" s="4" t="str">
        <f>$A$8</f>
        <v>Консервативный</v>
      </c>
      <c r="B107" s="45"/>
      <c r="C107" s="12">
        <v>4.1348541799882099</v>
      </c>
      <c r="D107" s="12">
        <v>2.5742051083893069</v>
      </c>
      <c r="E107" s="12">
        <v>2.1502632456991155</v>
      </c>
      <c r="F107" s="13">
        <v>2.0541640490102928</v>
      </c>
    </row>
    <row r="108" spans="1:6" ht="18" customHeight="1" x14ac:dyDescent="0.25">
      <c r="A108" s="34" t="s">
        <v>18</v>
      </c>
      <c r="B108" s="23"/>
      <c r="C108" s="24"/>
      <c r="D108" s="24"/>
      <c r="E108" s="25"/>
      <c r="F108" s="26"/>
    </row>
    <row r="109" spans="1:6" ht="18" customHeight="1" x14ac:dyDescent="0.2">
      <c r="A109" s="3" t="str">
        <f>$A$7</f>
        <v>Базовый</v>
      </c>
      <c r="B109" s="47">
        <v>2.2084999999999999</v>
      </c>
      <c r="C109" s="17">
        <v>2.3485999999999998</v>
      </c>
      <c r="D109" s="8">
        <v>2.3357999999999999</v>
      </c>
      <c r="E109" s="8">
        <v>2.3351999999999999</v>
      </c>
      <c r="F109" s="9">
        <v>2.3492000000000002</v>
      </c>
    </row>
    <row r="110" spans="1:6" ht="18" customHeight="1" thickBot="1" x14ac:dyDescent="0.25">
      <c r="A110" s="4" t="str">
        <f>$A$8</f>
        <v>Консервативный</v>
      </c>
      <c r="B110" s="47"/>
      <c r="C110" s="18">
        <v>2.3485999999999998</v>
      </c>
      <c r="D110" s="12">
        <v>2.4213</v>
      </c>
      <c r="E110" s="12">
        <v>2.4207000000000001</v>
      </c>
      <c r="F110" s="13">
        <v>2.4346999999999999</v>
      </c>
    </row>
    <row r="111" spans="1:6" ht="18" customHeight="1" x14ac:dyDescent="0.25">
      <c r="A111" s="34" t="s">
        <v>15</v>
      </c>
      <c r="B111" s="23"/>
      <c r="C111" s="31"/>
      <c r="D111" s="31"/>
      <c r="E111" s="32"/>
      <c r="F111" s="33"/>
    </row>
    <row r="112" spans="1:6" ht="18" customHeight="1" x14ac:dyDescent="0.2">
      <c r="A112" s="3" t="str">
        <f>$A$7</f>
        <v>Базовый</v>
      </c>
      <c r="B112" s="44">
        <v>76.126800000000003</v>
      </c>
      <c r="C112" s="17">
        <v>76.225399999999993</v>
      </c>
      <c r="D112" s="8">
        <v>76.282799999999995</v>
      </c>
      <c r="E112" s="8">
        <v>76.394199999999998</v>
      </c>
      <c r="F112" s="9">
        <v>76.459500000000006</v>
      </c>
    </row>
    <row r="113" spans="1:6" ht="18" customHeight="1" thickBot="1" x14ac:dyDescent="0.25">
      <c r="A113" s="4" t="str">
        <f>$A$8</f>
        <v>Консервативный</v>
      </c>
      <c r="B113" s="46"/>
      <c r="C113" s="19">
        <v>76.225399999999993</v>
      </c>
      <c r="D113" s="10">
        <v>76.282799999999995</v>
      </c>
      <c r="E113" s="10">
        <v>76.394199999999998</v>
      </c>
      <c r="F113" s="11">
        <v>76.459500000000006</v>
      </c>
    </row>
    <row r="114" spans="1:6" ht="15.75" x14ac:dyDescent="0.25">
      <c r="A114" s="34" t="s">
        <v>16</v>
      </c>
      <c r="B114" s="23"/>
      <c r="C114" s="24"/>
      <c r="D114" s="24"/>
      <c r="E114" s="25"/>
      <c r="F114" s="26"/>
    </row>
    <row r="115" spans="1:6" ht="18" customHeight="1" x14ac:dyDescent="0.2">
      <c r="A115" s="3" t="str">
        <f>$A$7</f>
        <v>Базовый</v>
      </c>
      <c r="B115" s="49">
        <v>53534.2693</v>
      </c>
      <c r="C115" s="20">
        <v>59040.986100000002</v>
      </c>
      <c r="D115" s="21">
        <v>63172.664199999999</v>
      </c>
      <c r="E115" s="21">
        <v>67625.198999999993</v>
      </c>
      <c r="F115" s="22">
        <v>72402.781700000007</v>
      </c>
    </row>
    <row r="116" spans="1:6" ht="18" customHeight="1" thickBot="1" x14ac:dyDescent="0.25">
      <c r="A116" s="4" t="str">
        <f>$A$8</f>
        <v>Консервативный</v>
      </c>
      <c r="B116" s="50"/>
      <c r="C116" s="20">
        <v>59040.986100000002</v>
      </c>
      <c r="D116" s="21">
        <v>62901.0121</v>
      </c>
      <c r="E116" s="21">
        <v>67014.216199999995</v>
      </c>
      <c r="F116" s="22">
        <v>71402.537400000001</v>
      </c>
    </row>
    <row r="117" spans="1:6" ht="15.75" x14ac:dyDescent="0.25">
      <c r="A117" s="34" t="s">
        <v>17</v>
      </c>
      <c r="B117" s="23"/>
      <c r="C117" s="24"/>
      <c r="D117" s="24"/>
      <c r="E117" s="25"/>
      <c r="F117" s="26"/>
    </row>
    <row r="118" spans="1:6" ht="18" customHeight="1" x14ac:dyDescent="0.2">
      <c r="A118" s="3" t="str">
        <f>$A$7</f>
        <v>Базовый</v>
      </c>
      <c r="B118" s="47">
        <v>15.768900000000002</v>
      </c>
      <c r="C118" s="17">
        <v>10.286299999999997</v>
      </c>
      <c r="D118" s="8">
        <v>6.9980000000000047</v>
      </c>
      <c r="E118" s="8">
        <v>7.0481999999999942</v>
      </c>
      <c r="F118" s="9">
        <v>7.0648000000000053</v>
      </c>
    </row>
    <row r="119" spans="1:6" ht="18" customHeight="1" thickBot="1" x14ac:dyDescent="0.25">
      <c r="A119" s="4" t="str">
        <f>$A$8</f>
        <v>Консервативный</v>
      </c>
      <c r="B119" s="47"/>
      <c r="C119" s="19">
        <v>10.286299999999997</v>
      </c>
      <c r="D119" s="10">
        <v>6.5378999999999934</v>
      </c>
      <c r="E119" s="10">
        <v>6.5391999999999939</v>
      </c>
      <c r="F119" s="11">
        <v>6.5482999999999976</v>
      </c>
    </row>
    <row r="120" spans="1:6" ht="15.75" x14ac:dyDescent="0.25">
      <c r="A120" s="34" t="s">
        <v>19</v>
      </c>
      <c r="B120" s="23"/>
      <c r="C120" s="24"/>
      <c r="D120" s="24"/>
      <c r="E120" s="25"/>
      <c r="F120" s="26"/>
    </row>
    <row r="121" spans="1:6" ht="18" customHeight="1" x14ac:dyDescent="0.2">
      <c r="A121" s="3" t="str">
        <f>$A$7</f>
        <v>Базовый</v>
      </c>
      <c r="B121" s="47">
        <v>74.445499999999996</v>
      </c>
      <c r="C121" s="17">
        <v>74.435199999999995</v>
      </c>
      <c r="D121" s="8">
        <v>74.501000000000005</v>
      </c>
      <c r="E121" s="8">
        <v>74.610299999999995</v>
      </c>
      <c r="F121" s="9">
        <v>74.663300000000007</v>
      </c>
    </row>
    <row r="122" spans="1:6" ht="18" customHeight="1" thickBot="1" x14ac:dyDescent="0.25">
      <c r="A122" s="4" t="str">
        <f>$A$8</f>
        <v>Консервативный</v>
      </c>
      <c r="B122" s="45"/>
      <c r="C122" s="18">
        <v>74.435199999999995</v>
      </c>
      <c r="D122" s="12">
        <v>74.4358</v>
      </c>
      <c r="E122" s="12">
        <v>74.545000000000002</v>
      </c>
      <c r="F122" s="13">
        <v>74.597899999999996</v>
      </c>
    </row>
    <row r="123" spans="1:6" ht="18" customHeight="1" x14ac:dyDescent="0.25">
      <c r="A123" s="6"/>
      <c r="B123" s="6"/>
      <c r="C123" s="6"/>
      <c r="D123" s="6"/>
      <c r="E123" s="6"/>
      <c r="F123" s="6"/>
    </row>
    <row r="132" ht="20.25" customHeight="1" x14ac:dyDescent="0.25"/>
  </sheetData>
  <mergeCells count="43">
    <mergeCell ref="B10:B11"/>
    <mergeCell ref="A3:F3"/>
    <mergeCell ref="A4:A5"/>
    <mergeCell ref="D5:F5"/>
    <mergeCell ref="B7:B8"/>
    <mergeCell ref="B28:B29"/>
    <mergeCell ref="B31:B32"/>
    <mergeCell ref="B34:B35"/>
    <mergeCell ref="B37:B38"/>
    <mergeCell ref="B13:B14"/>
    <mergeCell ref="B16:B17"/>
    <mergeCell ref="B19:B20"/>
    <mergeCell ref="B22:B23"/>
    <mergeCell ref="B25:B26"/>
    <mergeCell ref="B64:B65"/>
    <mergeCell ref="B67:B68"/>
    <mergeCell ref="B70:B71"/>
    <mergeCell ref="B73:B74"/>
    <mergeCell ref="B40:B41"/>
    <mergeCell ref="A1:F2"/>
    <mergeCell ref="B121:B122"/>
    <mergeCell ref="B88:B89"/>
    <mergeCell ref="B91:B92"/>
    <mergeCell ref="B109:B110"/>
    <mergeCell ref="B112:B113"/>
    <mergeCell ref="B115:B116"/>
    <mergeCell ref="B118:B119"/>
    <mergeCell ref="B85:B86"/>
    <mergeCell ref="B43:B44"/>
    <mergeCell ref="B46:B47"/>
    <mergeCell ref="B49:B50"/>
    <mergeCell ref="B52:B53"/>
    <mergeCell ref="B55:B56"/>
    <mergeCell ref="B58:B59"/>
    <mergeCell ref="B61:B62"/>
    <mergeCell ref="B100:B101"/>
    <mergeCell ref="B103:B104"/>
    <mergeCell ref="B106:B107"/>
    <mergeCell ref="B76:B77"/>
    <mergeCell ref="B79:B80"/>
    <mergeCell ref="B82:B83"/>
    <mergeCell ref="B94:B95"/>
    <mergeCell ref="B97:B9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3" firstPageNumber="99" fitToHeight="3" orientation="landscape" r:id="rId1"/>
  <rowBreaks count="4" manualBreakCount="4">
    <brk id="29" max="5" man="1"/>
    <brk id="56" max="5" man="1"/>
    <brk id="83" max="5" man="1"/>
    <brk id="10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Сравнительная</vt:lpstr>
      <vt:lpstr>Сравнительная!Заголовки_для_печати</vt:lpstr>
      <vt:lpstr>Сравнительная!Область_печати</vt:lpstr>
    </vt:vector>
  </TitlesOfParts>
  <Company>???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Рудомётов Андрей Александрович</cp:lastModifiedBy>
  <cp:lastPrinted>2026-09-22T11:27:48Z</cp:lastPrinted>
  <dcterms:created xsi:type="dcterms:W3CDTF">2023-09-08T12:21:06Z</dcterms:created>
  <dcterms:modified xsi:type="dcterms:W3CDTF">2026-09-25T09:09:09Z</dcterms:modified>
</cp:coreProperties>
</file>