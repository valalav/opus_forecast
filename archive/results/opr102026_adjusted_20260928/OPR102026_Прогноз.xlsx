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огноз" sheetId="1" state="visible" r:id="rId3"/>
    <sheet name="Прогноз (2)" sheetId="2" state="visible" r:id="rId4"/>
    <sheet name="РасчетSaar" sheetId="3" state="visible" r:id="rId5"/>
    <sheet name="Корректировки" sheetId="4" state="visible" r:id="rId6"/>
    <sheet name="Описания" sheetId="5" state="hidden" r:id="rId7"/>
    <sheet name="Параметры" sheetId="6" state="hidden" r:id="rId8"/>
    <sheet name="Лист1" sheetId="7" state="visible" r:id="rId9"/>
    <sheet name="for_sa" sheetId="8" state="visible" r:id="rId10"/>
  </sheets>
  <externalReferences>
    <externalReference r:id="rId11"/>
  </externalReferences>
  <definedNames>
    <definedName function="false" hidden="false" name="рассчитываемБИПЦ" vbProcedure="false">[1]БИПЦ!$D$1</definedName>
    <definedName function="false" hidden="true" localSheetId="6" name="ExternalData_1" vbProcedure="false">Лист1!$A$1:$C$16</definedName>
    <definedName function="false" hidden="true" localSheetId="6" name="ExternalData_2" vbProcedure="false">Лист1!$I$1:$K$185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<sst xmlns="http://schemas.openxmlformats.org/spreadsheetml/2006/main" count="114" uniqueCount="64">
  <si>
    <t xml:space="preserve">Дата</t>
  </si>
  <si>
    <t xml:space="preserve">MoM</t>
  </si>
  <si>
    <t xml:space="preserve">YoY</t>
  </si>
  <si>
    <t xml:space="preserve">3mmasaar</t>
  </si>
  <si>
    <t xml:space="preserve">ensemble_best_config</t>
  </si>
  <si>
    <t xml:space="preserve">xgboost_iqr</t>
  </si>
  <si>
    <t xml:space="preserve">vecm</t>
  </si>
  <si>
    <t xml:space="preserve">var_iqr</t>
  </si>
  <si>
    <t xml:space="preserve">sarima_simple_iqr</t>
  </si>
  <si>
    <t xml:space="preserve">sarima_simple</t>
  </si>
  <si>
    <t xml:space="preserve">sarima_component_iqr</t>
  </si>
  <si>
    <t xml:space="preserve">sarima_component</t>
  </si>
  <si>
    <t xml:space="preserve">prophet_iqr</t>
  </si>
  <si>
    <t xml:space="preserve">lstm_iqr</t>
  </si>
  <si>
    <t xml:space="preserve">lstm</t>
  </si>
  <si>
    <t xml:space="preserve">hybrid_var_xgb</t>
  </si>
  <si>
    <t xml:space="preserve">favar_iqr</t>
  </si>
  <si>
    <t xml:space="preserve">dfm_iqr</t>
  </si>
  <si>
    <t xml:space="preserve">bvar</t>
  </si>
  <si>
    <t xml:space="preserve">1 вер mom</t>
  </si>
  <si>
    <t xml:space="preserve">1 вер yoy</t>
  </si>
  <si>
    <t xml:space="preserve">MoM_Old</t>
  </si>
  <si>
    <t xml:space="preserve">MoM разница</t>
  </si>
  <si>
    <t xml:space="preserve">YoY_Old</t>
  </si>
  <si>
    <t xml:space="preserve">YoY разница</t>
  </si>
  <si>
    <t xml:space="preserve">Ростов MoM New</t>
  </si>
  <si>
    <t xml:space="preserve">Ростов YoY
New</t>
  </si>
  <si>
    <t xml:space="preserve">Ростов MoM</t>
  </si>
  <si>
    <t xml:space="preserve">Ростов YoY</t>
  </si>
  <si>
    <t xml:space="preserve">БР</t>
  </si>
  <si>
    <t xml:space="preserve">Ростов + 1 нед октября</t>
  </si>
  <si>
    <t xml:space="preserve">4-4,5</t>
  </si>
  <si>
    <t xml:space="preserve">Доклад 07.25</t>
  </si>
  <si>
    <t xml:space="preserve">МоМ</t>
  </si>
  <si>
    <t xml:space="preserve">3 mma</t>
  </si>
  <si>
    <t xml:space="preserve">3mma ar</t>
  </si>
  <si>
    <t xml:space="preserve">Непроды</t>
  </si>
  <si>
    <t xml:space="preserve">Проды</t>
  </si>
  <si>
    <t xml:space="preserve">Услуги</t>
  </si>
  <si>
    <t xml:space="preserve">mom</t>
  </si>
  <si>
    <t xml:space="preserve">Медиана</t>
  </si>
  <si>
    <t xml:space="preserve">Средняя</t>
  </si>
  <si>
    <t xml:space="preserve">Дисперсия</t>
  </si>
  <si>
    <t xml:space="preserve">Date</t>
  </si>
  <si>
    <t xml:space="preserve">MoMF</t>
  </si>
  <si>
    <t xml:space="preserve">IPC_BASE</t>
  </si>
  <si>
    <t xml:space="preserve">IPC_BASE_SA</t>
  </si>
  <si>
    <t xml:space="preserve">IPC_BASE_SA 2 IPC SA</t>
  </si>
  <si>
    <t xml:space="preserve">3MMASAAR</t>
  </si>
  <si>
    <t xml:space="preserve">YoYSA</t>
  </si>
  <si>
    <t xml:space="preserve">ВВГУ MomSA</t>
  </si>
  <si>
    <t xml:space="preserve">ВВГУ 3mmsaar</t>
  </si>
  <si>
    <t xml:space="preserve">I кв.</t>
  </si>
  <si>
    <t xml:space="preserve">IV кв.</t>
  </si>
  <si>
    <t xml:space="preserve">II кв.</t>
  </si>
  <si>
    <t xml:space="preserve">III кв.</t>
  </si>
  <si>
    <t xml:space="preserve">Прогнозный МоМ</t>
  </si>
  <si>
    <t xml:space="preserve">Прогнозный YoY</t>
  </si>
  <si>
    <t xml:space="preserve">Значение</t>
  </si>
  <si>
    <t xml:space="preserve">Day</t>
  </si>
  <si>
    <t xml:space="preserve">Столбец1</t>
  </si>
  <si>
    <t xml:space="preserve">dnd</t>
  </si>
  <si>
    <t xml:space="preserve">Seasonally adjusted</t>
  </si>
  <si>
    <t xml:space="preserve">Средн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</si>
</sst>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"/>
    <numFmt numFmtId="167" formatCode="m/d/yyyy"/>
    <numFmt numFmtId="168" formatCode="General"/>
    <numFmt numFmtId="169" formatCode="_-* #,##0.00_-;\-* #,##0.00_-;_-* \-??_-;_-@_-"/>
    <numFmt numFmtId="170" formatCode="0.0"/>
    <numFmt numFmtId="171" formatCode="0"/>
  </numFmts>
  <fonts count="1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8"/>
      <name val="Calibri"/>
      <family val="2"/>
      <charset val="204"/>
    </font>
    <font>
      <sz val="11"/>
      <name val="Calibri"/>
      <family val="2"/>
      <charset val="204"/>
    </font>
    <font>
      <sz val="11"/>
      <color rgb="FF006100"/>
      <name val="Calibri"/>
      <family val="2"/>
      <charset val="204"/>
    </font>
    <font>
      <sz val="11"/>
      <color rgb="FFFF000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8"/>
      <name val="Calibri"/>
      <family val="2"/>
      <charset val="204"/>
    </font>
    <font>
      <sz val="11"/>
      <color theme="0" tint="-0.5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9C0006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6DCE5"/>
      </patternFill>
    </fill>
    <fill>
      <patternFill patternType="solid">
        <fgColor rgb="FFFFC7CE"/>
        <bgColor rgb="FFD9D9D9"/>
      </patternFill>
    </fill>
    <fill>
      <patternFill patternType="solid">
        <fgColor theme="9"/>
        <bgColor rgb="FF8B8B8B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3" tint="0.7999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6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2 2" xfId="21"/>
    <cellStyle name="Процентный 2" xfId="22"/>
    <cellStyle name="Excel Built-in Good" xfId="23"/>
    <cellStyle name="Excel Built-in Bad" xfId="24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9A9A9"/>
      <rgbColor rgb="FF808080"/>
      <rgbColor rgb="FFA5A5A5"/>
      <rgbColor rgb="FF993366"/>
      <rgbColor rgb="FFF2F2F2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DC3E6"/>
      <rgbColor rgb="FFFF99CC"/>
      <rgbColor rgb="FFCC99FF"/>
      <rgbColor rgb="FFFFC7CE"/>
      <rgbColor rgb="FF3366FF"/>
      <rgbColor rgb="FF5B9BD5"/>
      <rgbColor rgb="FF99CC00"/>
      <rgbColor rgb="FFFFCC00"/>
      <rgbColor rgb="FFFF9900"/>
      <rgbColor rgb="FFED7D31"/>
      <rgbColor rgb="FF595959"/>
      <rgbColor rgb="FF8B8B8B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externalLink" Target="externalLinks/externalLink1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YoY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(2)'!$A$36:$A$62</c:f>
              <c:numCache>
                <c:formatCode>m/yy</c:formatCode>
                <c:ptCount val="27"/>
                <c:pt idx="0">
                  <c:v>10/1/2024</c:v>
                </c:pt>
                <c:pt idx="1">
                  <c:v>11/1/2024</c:v>
                </c:pt>
                <c:pt idx="2">
                  <c:v>12/1/2024</c:v>
                </c:pt>
                <c:pt idx="3">
                  <c:v>1/1/2025</c:v>
                </c:pt>
                <c:pt idx="4">
                  <c:v>2/1/2025</c:v>
                </c:pt>
                <c:pt idx="5">
                  <c:v>3/1/2025</c:v>
                </c:pt>
                <c:pt idx="6">
                  <c:v>4/1/2025</c:v>
                </c:pt>
                <c:pt idx="7">
                  <c:v>5/1/2025</c:v>
                </c:pt>
                <c:pt idx="8">
                  <c:v>6/1/2025</c:v>
                </c:pt>
                <c:pt idx="9">
                  <c:v>7/1/2025</c:v>
                </c:pt>
                <c:pt idx="10">
                  <c:v>8/1/2025</c:v>
                </c:pt>
                <c:pt idx="11">
                  <c:v>9/1/2025</c:v>
                </c:pt>
                <c:pt idx="12">
                  <c:v>10/1/2025</c:v>
                </c:pt>
                <c:pt idx="13">
                  <c:v>11/1/2025</c:v>
                </c:pt>
                <c:pt idx="14">
                  <c:v>12/1/2025</c:v>
                </c:pt>
                <c:pt idx="15">
                  <c:v>1/1/2026</c:v>
                </c:pt>
                <c:pt idx="16">
                  <c:v>2/1/2026</c:v>
                </c:pt>
                <c:pt idx="17">
                  <c:v>3/1/2026</c:v>
                </c:pt>
                <c:pt idx="18">
                  <c:v>4/1/2026</c:v>
                </c:pt>
                <c:pt idx="19">
                  <c:v>5/1/2026</c:v>
                </c:pt>
                <c:pt idx="20">
                  <c:v>6/1/2026</c:v>
                </c:pt>
                <c:pt idx="21">
                  <c:v>7/1/2026</c:v>
                </c:pt>
                <c:pt idx="22">
                  <c:v>8/1/2026</c:v>
                </c:pt>
                <c:pt idx="23">
                  <c:v>9/1/2026</c:v>
                </c:pt>
                <c:pt idx="24">
                  <c:v>10/1/2026</c:v>
                </c:pt>
                <c:pt idx="25">
                  <c:v>11/1/2026</c:v>
                </c:pt>
                <c:pt idx="26">
                  <c:v>12/1/2026</c:v>
                </c:pt>
              </c:numCache>
            </c:numRef>
          </c:cat>
          <c:val>
            <c:numRef>
              <c:f>'Прогноз (2)'!$F$36:$F$62</c:f>
              <c:numCache>
                <c:formatCode>0.00</c:formatCode>
                <c:ptCount val="27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108.19</c:v>
                </c:pt>
                <c:pt idx="10">
                  <c:v>107.48</c:v>
                </c:pt>
                <c:pt idx="11">
                  <c:v>107.88</c:v>
                </c:pt>
                <c:pt idx="12">
                  <c:v>107.36</c:v>
                </c:pt>
                <c:pt idx="13">
                  <c:v>105.98</c:v>
                </c:pt>
                <c:pt idx="14">
                  <c:v>105.71</c:v>
                </c:pt>
                <c:pt idx="15">
                  <c:v>105.51</c:v>
                </c:pt>
                <c:pt idx="16">
                  <c:v>104.82</c:v>
                </c:pt>
                <c:pt idx="17">
                  <c:v>104.48</c:v>
                </c:pt>
                <c:pt idx="18">
                  <c:v>104.45</c:v>
                </c:pt>
                <c:pt idx="19">
                  <c:v>104.82</c:v>
                </c:pt>
                <c:pt idx="20">
                  <c:v>104.93</c:v>
                </c:pt>
                <c:pt idx="21">
                  <c:v>104.97</c:v>
                </c:pt>
                <c:pt idx="22">
                  <c:v>105.38</c:v>
                </c:pt>
                <c:pt idx="23">
                  <c:v>104.41</c:v>
                </c:pt>
                <c:pt idx="24">
                  <c:v>104.17</c:v>
                </c:pt>
                <c:pt idx="25">
                  <c:v>104.48</c:v>
                </c:pt>
                <c:pt idx="26">
                  <c:v>104.22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90491"/>
        <c:axId val="83637473"/>
      </c:lineChart>
      <c:lineChart>
        <c:grouping val="stacked"/>
        <c:varyColors val="0"/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(2)'!$A$36:$A$62</c:f>
              <c:numCache>
                <c:formatCode>m/yy</c:formatCode>
                <c:ptCount val="27"/>
                <c:pt idx="0">
                  <c:v>10/1/2024</c:v>
                </c:pt>
                <c:pt idx="1">
                  <c:v>11/1/2024</c:v>
                </c:pt>
                <c:pt idx="2">
                  <c:v>12/1/2024</c:v>
                </c:pt>
                <c:pt idx="3">
                  <c:v>1/1/2025</c:v>
                </c:pt>
                <c:pt idx="4">
                  <c:v>2/1/2025</c:v>
                </c:pt>
                <c:pt idx="5">
                  <c:v>3/1/2025</c:v>
                </c:pt>
                <c:pt idx="6">
                  <c:v>4/1/2025</c:v>
                </c:pt>
                <c:pt idx="7">
                  <c:v>5/1/2025</c:v>
                </c:pt>
                <c:pt idx="8">
                  <c:v>6/1/2025</c:v>
                </c:pt>
                <c:pt idx="9">
                  <c:v>7/1/2025</c:v>
                </c:pt>
                <c:pt idx="10">
                  <c:v>8/1/2025</c:v>
                </c:pt>
                <c:pt idx="11">
                  <c:v>9/1/2025</c:v>
                </c:pt>
                <c:pt idx="12">
                  <c:v>10/1/2025</c:v>
                </c:pt>
                <c:pt idx="13">
                  <c:v>11/1/2025</c:v>
                </c:pt>
                <c:pt idx="14">
                  <c:v>12/1/2025</c:v>
                </c:pt>
                <c:pt idx="15">
                  <c:v>1/1/2026</c:v>
                </c:pt>
                <c:pt idx="16">
                  <c:v>2/1/2026</c:v>
                </c:pt>
                <c:pt idx="17">
                  <c:v>3/1/2026</c:v>
                </c:pt>
                <c:pt idx="18">
                  <c:v>4/1/2026</c:v>
                </c:pt>
                <c:pt idx="19">
                  <c:v>5/1/2026</c:v>
                </c:pt>
                <c:pt idx="20">
                  <c:v>6/1/2026</c:v>
                </c:pt>
                <c:pt idx="21">
                  <c:v>7/1/2026</c:v>
                </c:pt>
                <c:pt idx="22">
                  <c:v>8/1/2026</c:v>
                </c:pt>
                <c:pt idx="23">
                  <c:v>9/1/2026</c:v>
                </c:pt>
                <c:pt idx="24">
                  <c:v>10/1/2026</c:v>
                </c:pt>
                <c:pt idx="25">
                  <c:v>11/1/2026</c:v>
                </c:pt>
                <c:pt idx="26">
                  <c:v>12/1/2026</c:v>
                </c:pt>
              </c:numCache>
            </c:numRef>
          </c:cat>
          <c:val>
            <c:numRef>
              <c:f>'Прогноз (2)'!$L$36:$L$50</c:f>
              <c:numCache>
                <c:formatCode>0.00</c:formatCode>
                <c:ptCount val="15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108.77</c:v>
                </c:pt>
                <c:pt idx="10">
                  <c:v>108.89</c:v>
                </c:pt>
                <c:pt idx="11">
                  <c:v>108.6</c:v>
                </c:pt>
                <c:pt idx="12">
                  <c:v>107.41</c:v>
                </c:pt>
                <c:pt idx="13">
                  <c:v>106.41</c:v>
                </c:pt>
                <c:pt idx="14">
                  <c:v>106.08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137265"/>
        <c:axId val="6472220"/>
      </c:lineChart>
      <c:dateAx>
        <c:axId val="9790491"/>
        <c:scaling>
          <c:orientation val="minMax"/>
        </c:scaling>
        <c:delete val="0"/>
        <c:axPos val="b"/>
        <c:numFmt formatCode="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637473"/>
        <c:crosses val="autoZero"/>
        <c:auto val="1"/>
        <c:lblOffset val="100"/>
        <c:baseTimeUnit val="months"/>
        <c:noMultiLvlLbl val="0"/>
      </c:dateAx>
      <c:valAx>
        <c:axId val="836374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0491"/>
        <c:crosses val="autoZero"/>
        <c:crossBetween val="between"/>
      </c:valAx>
      <c:dateAx>
        <c:axId val="1113726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2220"/>
        <c:auto val="1"/>
        <c:lblOffset val="100"/>
        <c:baseTimeUnit val="months"/>
        <c:noMultiLvlLbl val="0"/>
      </c:dateAx>
      <c:valAx>
        <c:axId val="6472220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13726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Сравнение mom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Прогноз!$B$39:$B$62</c:f>
              <c:numCache>
                <c:formatCode>General</c:formatCode>
                <c:ptCount val="24"/>
              </c:numCache>
            </c:numRef>
          </c:val>
          <c:smooth val="0"/>
        </c:ser>
        <c:ser>
          <c:idx val="1"/>
          <c:order val="1"/>
          <c:tx>
            <c:strRef>
              <c:f>'Прогноз (2)'!$E$2</c:f>
              <c:strCache>
                <c:ptCount val="1"/>
                <c:pt idx="0">
                  <c:v>MoM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(2)'!$E$39:$E$62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100.36</c:v>
                </c:pt>
                <c:pt idx="7">
                  <c:v>99.43</c:v>
                </c:pt>
                <c:pt idx="8">
                  <c:v>101</c:v>
                </c:pt>
                <c:pt idx="9">
                  <c:v>100.53</c:v>
                </c:pt>
                <c:pt idx="10">
                  <c:v>100.2</c:v>
                </c:pt>
                <c:pt idx="11">
                  <c:v>100.65</c:v>
                </c:pt>
                <c:pt idx="12">
                  <c:v>100.65</c:v>
                </c:pt>
                <c:pt idx="13">
                  <c:v>100.68</c:v>
                </c:pt>
                <c:pt idx="14">
                  <c:v>100.4848647</c:v>
                </c:pt>
                <c:pt idx="15">
                  <c:v>100.5</c:v>
                </c:pt>
                <c:pt idx="16">
                  <c:v>100.2800697</c:v>
                </c:pt>
                <c:pt idx="17">
                  <c:v>100.066265</c:v>
                </c:pt>
                <c:pt idx="18">
                  <c:v>100.4</c:v>
                </c:pt>
                <c:pt idx="19">
                  <c:v>99.8143646</c:v>
                </c:pt>
                <c:pt idx="20">
                  <c:v>100.0715293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'Прогноз (2)'!$J$2</c:f>
              <c:strCache>
                <c:ptCount val="1"/>
                <c:pt idx="0">
                  <c:v>MoM_Old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Прогноз!$A$39:$A$62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(2)'!$J$39:$J$62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100.9</c:v>
                </c:pt>
                <c:pt idx="7">
                  <c:v>100.2</c:v>
                </c:pt>
                <c:pt idx="8">
                  <c:v>100.35</c:v>
                </c:pt>
                <c:pt idx="9">
                  <c:v>100.58</c:v>
                </c:pt>
                <c:pt idx="10">
                  <c:v>100.55</c:v>
                </c:pt>
                <c:pt idx="11">
                  <c:v>100.6</c:v>
                </c:pt>
                <c:pt idx="12">
                  <c:v>100.55</c:v>
                </c:pt>
                <c:pt idx="13">
                  <c:v>100.5</c:v>
                </c:pt>
                <c:pt idx="14">
                  <c:v>100.4848647</c:v>
                </c:pt>
                <c:pt idx="15">
                  <c:v>100.5</c:v>
                </c:pt>
                <c:pt idx="16">
                  <c:v>100.2800697</c:v>
                </c:pt>
                <c:pt idx="17">
                  <c:v>100.066265</c:v>
                </c:pt>
                <c:pt idx="18">
                  <c:v>100.6</c:v>
                </c:pt>
                <c:pt idx="19">
                  <c:v>99.8143646</c:v>
                </c:pt>
                <c:pt idx="20">
                  <c:v>100.0715293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278819"/>
        <c:axId val="89295537"/>
      </c:lineChart>
      <c:dateAx>
        <c:axId val="40278819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295537"/>
        <c:crosses val="autoZero"/>
        <c:auto val="1"/>
        <c:lblOffset val="100"/>
        <c:baseTimeUnit val="months"/>
        <c:noMultiLvlLbl val="0"/>
      </c:dateAx>
      <c:valAx>
        <c:axId val="89295537"/>
        <c:scaling>
          <c:orientation val="minMax"/>
          <c:min val="99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2788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Сравнение YoY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(2)'!$F$39:$F$62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108.19</c:v>
                </c:pt>
                <c:pt idx="7">
                  <c:v>107.48</c:v>
                </c:pt>
                <c:pt idx="8">
                  <c:v>107.88</c:v>
                </c:pt>
                <c:pt idx="9">
                  <c:v>107.36</c:v>
                </c:pt>
                <c:pt idx="10">
                  <c:v>105.98</c:v>
                </c:pt>
                <c:pt idx="11">
                  <c:v>105.71</c:v>
                </c:pt>
                <c:pt idx="12">
                  <c:v>105.51</c:v>
                </c:pt>
                <c:pt idx="13">
                  <c:v>104.82</c:v>
                </c:pt>
                <c:pt idx="14">
                  <c:v>104.48</c:v>
                </c:pt>
                <c:pt idx="15">
                  <c:v>104.45</c:v>
                </c:pt>
                <c:pt idx="16">
                  <c:v>104.82</c:v>
                </c:pt>
                <c:pt idx="17">
                  <c:v>104.93</c:v>
                </c:pt>
                <c:pt idx="18">
                  <c:v>104.97</c:v>
                </c:pt>
                <c:pt idx="19">
                  <c:v>105.38</c:v>
                </c:pt>
                <c:pt idx="20">
                  <c:v>104.41</c:v>
                </c:pt>
                <c:pt idx="21">
                  <c:v>104.17</c:v>
                </c:pt>
                <c:pt idx="22">
                  <c:v>104.48</c:v>
                </c:pt>
                <c:pt idx="23">
                  <c:v>104.22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'Прогноз (2)'!$A$39:$A$62</c:f>
              <c:numCache>
                <c:formatCode>mm/yy</c:formatCode>
                <c:ptCount val="24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1/1/2026</c:v>
                </c:pt>
                <c:pt idx="13">
                  <c:v>2/1/2026</c:v>
                </c:pt>
                <c:pt idx="14">
                  <c:v>3/1/2026</c:v>
                </c:pt>
                <c:pt idx="15">
                  <c:v>4/1/2026</c:v>
                </c:pt>
                <c:pt idx="16">
                  <c:v>5/1/2026</c:v>
                </c:pt>
                <c:pt idx="17">
                  <c:v>6/1/2026</c:v>
                </c:pt>
                <c:pt idx="18">
                  <c:v>7/1/2026</c:v>
                </c:pt>
                <c:pt idx="19">
                  <c:v>8/1/2026</c:v>
                </c:pt>
                <c:pt idx="20">
                  <c:v>9/1/2026</c:v>
                </c:pt>
                <c:pt idx="21">
                  <c:v>10/1/2026</c:v>
                </c:pt>
                <c:pt idx="22">
                  <c:v>11/1/2026</c:v>
                </c:pt>
                <c:pt idx="23">
                  <c:v>12/1/2026</c:v>
                </c:pt>
              </c:numCache>
            </c:numRef>
          </c:cat>
          <c:val>
            <c:numRef>
              <c:f>'Прогноз (2)'!$L$39:$L$62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108.77</c:v>
                </c:pt>
                <c:pt idx="7">
                  <c:v>108.89</c:v>
                </c:pt>
                <c:pt idx="8">
                  <c:v>108.6</c:v>
                </c:pt>
                <c:pt idx="9">
                  <c:v>107.41</c:v>
                </c:pt>
                <c:pt idx="10">
                  <c:v>106.41</c:v>
                </c:pt>
                <c:pt idx="11">
                  <c:v>106.08</c:v>
                </c:pt>
                <c:pt idx="12">
                  <c:v>105.77</c:v>
                </c:pt>
                <c:pt idx="13">
                  <c:v>104.9</c:v>
                </c:pt>
                <c:pt idx="14">
                  <c:v>104.56</c:v>
                </c:pt>
                <c:pt idx="15">
                  <c:v>104.53</c:v>
                </c:pt>
                <c:pt idx="16">
                  <c:v>104.89</c:v>
                </c:pt>
                <c:pt idx="17">
                  <c:v>105</c:v>
                </c:pt>
                <c:pt idx="18">
                  <c:v>105.26</c:v>
                </c:pt>
                <c:pt idx="19">
                  <c:v>105.66</c:v>
                </c:pt>
                <c:pt idx="20">
                  <c:v>104.69</c:v>
                </c:pt>
                <c:pt idx="21">
                  <c:v>104.4</c:v>
                </c:pt>
                <c:pt idx="22">
                  <c:v>104.35</c:v>
                </c:pt>
                <c:pt idx="23">
                  <c:v>104.14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50160"/>
        <c:axId val="71820958"/>
      </c:lineChart>
      <c:dateAx>
        <c:axId val="3850160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820958"/>
        <c:crosses val="autoZero"/>
        <c:auto val="1"/>
        <c:lblOffset val="100"/>
        <c:baseTimeUnit val="months"/>
        <c:noMultiLvlLbl val="0"/>
      </c:dateAx>
      <c:valAx>
        <c:axId val="718209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501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60</xdr:col>
      <xdr:colOff>162720</xdr:colOff>
      <xdr:row>24</xdr:row>
      <xdr:rowOff>164520</xdr:rowOff>
    </xdr:from>
    <xdr:to>
      <xdr:col>69</xdr:col>
      <xdr:colOff>509760</xdr:colOff>
      <xdr:row>35</xdr:row>
      <xdr:rowOff>97920</xdr:rowOff>
    </xdr:to>
    <xdr:graphicFrame>
      <xdr:nvGraphicFramePr>
        <xdr:cNvPr id="0" name="Chart 1"/>
        <xdr:cNvGraphicFramePr/>
      </xdr:nvGraphicFramePr>
      <xdr:xfrm>
        <a:off x="46617480" y="5224680"/>
        <a:ext cx="8113680" cy="209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57960</xdr:colOff>
      <xdr:row>58</xdr:row>
      <xdr:rowOff>189360</xdr:rowOff>
    </xdr:from>
    <xdr:to>
      <xdr:col>16</xdr:col>
      <xdr:colOff>572040</xdr:colOff>
      <xdr:row>80</xdr:row>
      <xdr:rowOff>149040</xdr:rowOff>
    </xdr:to>
    <xdr:graphicFrame>
      <xdr:nvGraphicFramePr>
        <xdr:cNvPr id="1" name="Chart 2"/>
        <xdr:cNvGraphicFramePr/>
      </xdr:nvGraphicFramePr>
      <xdr:xfrm>
        <a:off x="57960" y="12105720"/>
        <a:ext cx="11568240" cy="451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140760</xdr:colOff>
      <xdr:row>85</xdr:row>
      <xdr:rowOff>86400</xdr:rowOff>
    </xdr:from>
    <xdr:to>
      <xdr:col>55</xdr:col>
      <xdr:colOff>405360</xdr:colOff>
      <xdr:row>109</xdr:row>
      <xdr:rowOff>103320</xdr:rowOff>
    </xdr:to>
    <xdr:graphicFrame>
      <xdr:nvGraphicFramePr>
        <xdr:cNvPr id="2" name="Chart 3"/>
        <xdr:cNvGraphicFramePr/>
      </xdr:nvGraphicFramePr>
      <xdr:xfrm>
        <a:off x="140760" y="17544600"/>
        <a:ext cx="42247800" cy="43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_&#1055;&#1088;&#1086;&#1075;&#1085;&#1086;&#1079;/_&#1055;&#1088;&#1086;&#1075;&#1085;&#1086;&#1079;/&#1055;&#1088;&#1086;&#1075;&#1085;&#1086;&#1079;%202023_&#1089;&#1086;&#1082;&#1088;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id="1" name="Parameters" displayName="Parameters" ref="A1:A2" headerRowCount="1" totalsRowCount="0" totalsRowShown="0">
  <autoFilter ref="A1:A2"/>
  <tableColumns count="1">
    <tableColumn id="1" name="Значение"/>
  </tableColumns>
</table>
</file>

<file path=xl/tables/table2.xml><?xml version="1.0" encoding="utf-8"?>
<table xmlns="http://schemas.openxmlformats.org/spreadsheetml/2006/main" id="2" name="Таблица1" displayName="Таблица1" ref="A1:C16" headerRowCount="1" totalsRowCount="0" totalsRowShown="0">
  <autoFilter ref="A1:C16"/>
  <tableColumns count="3">
    <tableColumn id="1" name="Day"/>
    <tableColumn id="2" name="YoY"/>
    <tableColumn id="3" name="MoM"/>
  </tableColumns>
</table>
</file>

<file path=xl/tables/table3.xml><?xml version="1.0" encoding="utf-8"?>
<table xmlns="http://schemas.openxmlformats.org/spreadsheetml/2006/main" id="3" name="Таблица1__2" displayName="Таблица1__2" ref="I1:L185" headerRowCount="1" totalsRowCount="0" totalsRowShown="0">
  <autoFilter ref="I1:L185"/>
  <tableColumns count="4">
    <tableColumn id="1" name="Day"/>
    <tableColumn id="2" name="YoY"/>
    <tableColumn id="3" name="MoM"/>
    <tableColumn id="4" name="Столбец1" totalsRowFunction="custom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M82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2" topLeftCell="A41" activePane="bottomLeft" state="frozen"/>
      <ns0:selection pane="topLeft" activeCell="A1" activeCellId="0" sqref="A1"/>
      <ns0:selection pane="bottomLeft" activeCell="E56" activeCellId="0" sqref="E56"/>
    </ns0:sheetView>
  </ns0:sheetViews>
  <ns0:sheetFormatPr defaultColWidth="8.59765625" defaultRowHeight="14.25" zeroHeight="false" outlineLevelRow="0" outlineLevelCol="0"/>
  <ns0:cols>
    <ns0:col collapsed="false" customWidth="true" hidden="false" outlineLevel="0" max="1" min="1" style="1" width="10.9"/>
    <ns0:col collapsed="false" customWidth="true" hidden="false" outlineLevel="0" max="2" min="2" style="2" width="6.4"/>
    <ns0:col collapsed="false" customWidth="true" hidden="false" outlineLevel="0" max="3" min="3" style="2" width="5.09"/>
    <ns0:col collapsed="false" customWidth="true" hidden="false" outlineLevel="0" max="4" min="4" style="2" width="15.29"/>
    <ns0:col collapsed="false" customWidth="true" hidden="false" outlineLevel="0" max="6" min="5" style="3" width="11.1"/>
    <ns0:col collapsed="false" customWidth="true" hidden="false" outlineLevel="0" max="8" min="7" style="2" width="9.9"/>
    <ns0:col collapsed="false" customWidth="true" hidden="false" outlineLevel="0" max="9" min="9" style="2" width="6.7"/>
    <ns0:col collapsed="false" customWidth="true" hidden="false" outlineLevel="0" max="12" min="10" style="4" width="8.4"/>
    <ns0:col collapsed="false" customWidth="true" hidden="false" outlineLevel="0" max="13" min="13" style="4" width="12"/>
  </ns0:cols>
  <ns0:sheetData>
    <ns0:row r="1" customFormat="false" ht="14.25" hidden="false" customHeight="false" outlineLevel="0" collapsed="false">
      <ns0:c r="E1" s="5">
        <ns0:v>46293</ns0:v>
      </ns0:c>
      <ns0:c r="F1" s="5">
        <ns0:v>46293</ns0:v>
      </ns0:c>
      <ns0:c r="G1" s="6">
        <ns0:v>46266</ns0:v>
      </ns0:c>
      <ns0:c r="H1" s="6">
        <ns0:v>46266</ns0:v>
      </ns0:c>
    </ns0:row>
    <ns0:row r="2" customFormat="false" ht="21.75" hidden="false" customHeight="true" outlineLevel="0" collapsed="false">
      <ns0:c r="A2" s="7" t="s">
        <ns0:v>0</ns0:v>
      </ns0:c>
      <ns0:c r="B2" s="8" t="n">
        <ns0:v>-0.5</ns0:v>
      </ns0:c>
      <ns0:c r="C2" s="8"/>
      <ns0:c r="D2" s="8"/>
      <ns0:c r="E2" s="7" t="s">
        <ns0:v>1</ns0:v>
      </ns0:c>
      <ns0:c r="F2" s="7" t="s">
        <ns0:v>2</ns0:v>
      </ns0:c>
      <ns0:c r="G2" s="8" t="s">
        <ns0:v>1</ns0:v>
      </ns0:c>
      <ns0:c r="H2" s="8" t="s">
        <ns0:v>2</ns0:v>
      </ns0:c>
      <ns0:c r="I2" s="9" t="s">
        <ns0:v>3</ns0:v>
      </ns0:c>
      <ns0:c r="J2" s="10"/>
      <ns0:c r="K2" s="10"/>
      <ns0:c r="L2" s="10"/>
      <ns0:c r="M2" s="10"/>
    </ns0:row>
    <ns0:row r="3" customFormat="false" ht="16.4" hidden="false" customHeight="false" outlineLevel="0" collapsed="false">
      <ns0:c r="A3" s="11" t="n">
        <ns0:v>44562</ns0:v>
      </ns0:c>
      <ns0:c r="B3" s="12"/>
      <ns0:c r="C3" s="12"/>
      <ns0:c r="D3" s="12"/>
      <ns0:c r="E3" s="13">
        <ns0:v>101.22</ns0:v>
      </ns0:c>
      <ns0:c r="F3" s="13">
        <ns0:v>108.82</ns0:v>
      </ns0:c>
      <ns0:c r="G3" s="12">
        <ns0:v>101.22</ns0:v>
      </ns0:c>
      <ns0:c r="H3" s="12">
        <ns0:v>108.84</ns0:v>
      </ns0:c>
      <ns0:c r="I3" s="14"/>
      <ns0:c r="J3" s="15"/>
      <ns0:c r="K3" s="15"/>
      <ns0:c r="L3" s="15"/>
      <ns0:c r="M3" s="15"/>
    </ns0:row>
    <ns0:row r="4" customFormat="false" ht="16.4" hidden="false" customHeight="false" outlineLevel="0" collapsed="false">
      <ns0:c r="A4" s="16" t="n">
        <ns0:v>44593</ns0:v>
      </ns0:c>
      <ns0:c r="B4" s="12"/>
      <ns0:c r="C4" s="12"/>
      <ns0:c r="D4" s="12"/>
      <ns0:c r="E4" s="13">
        <ns0:v>100.94</ns0:v>
      </ns0:c>
      <ns0:c r="F4" s="13">
        <ns0:v>108.72</ns0:v>
      </ns0:c>
      <ns0:c r="G4" s="12">
        <ns0:v>100.94</ns0:v>
      </ns0:c>
      <ns0:c r="H4" s="12">
        <ns0:v>108.73</ns0:v>
      </ns0:c>
      <ns0:c r="I4" s="14"/>
      <ns0:c r="J4" s="15"/>
      <ns0:c r="K4" s="15"/>
      <ns0:c r="L4" s="15"/>
      <ns0:c r="M4" s="15"/>
    </ns0:row>
    <ns0:row r="5" customFormat="false" ht="16.4" hidden="false" customHeight="false" outlineLevel="0" collapsed="false">
      <ns0:c r="A5" s="11" t="n">
        <ns0:v>44621</ns0:v>
      </ns0:c>
      <ns0:c r="B5" s="12"/>
      <ns0:c r="C5" s="12"/>
      <ns0:c r="D5" s="12"/>
      <ns0:c r="E5" s="13">
        <ns0:v>105.55</ns0:v>
      </ns0:c>
      <ns0:c r="F5" s="13">
        <ns0:v>113.27</ns0:v>
      </ns0:c>
      <ns0:c r="G5" s="12">
        <ns0:v>105.55</ns0:v>
      </ns0:c>
      <ns0:c r="H5" s="12">
        <ns0:v>113.29</ns0:v>
      </ns0:c>
      <ns0:c r="I5" s="14" t="n">
        <ns0:f aca="false">AVERAGE($E3:$E5)^12/100^11-100</ns0:f>
        <ns0:v>35.5951844490152</ns0:v>
      </ns0:c>
      <ns0:c r="J5" s="15"/>
      <ns0:c r="K5" s="15"/>
      <ns0:c r="L5" s="15"/>
      <ns0:c r="M5" s="15"/>
    </ns0:row>
    <ns0:row r="6" customFormat="false" ht="16.4" hidden="false" customHeight="false" outlineLevel="0" collapsed="false">
      <ns0:c r="A6" s="16" t="n">
        <ns0:v>44652</ns0:v>
      </ns0:c>
      <ns0:c r="B6" s="12"/>
      <ns0:c r="C6" s="12"/>
      <ns0:c r="D6" s="12"/>
      <ns0:c r="E6" s="13">
        <ns0:v>103.28</ns0:v>
      </ns0:c>
      <ns0:c r="F6" s="13">
        <ns0:v>115.99</ns0:v>
      </ns0:c>
      <ns0:c r="G6" s="12">
        <ns0:v>103.28</ns0:v>
      </ns0:c>
      <ns0:c r="H6" s="12">
        <ns0:v>116</ns0:v>
      </ns0:c>
      <ns0:c r="I6" s="14" t="n">
        <ns0:f aca="false">AVERAGE($E4:$E6)^12/100^11-100</ns0:f>
        <ns0:v>46.8984496892717</ns0:v>
      </ns0:c>
      <ns0:c r="J6" s="15"/>
      <ns0:c r="K6" s="15"/>
      <ns0:c r="L6" s="15"/>
      <ns0:c r="M6" s="15"/>
    </ns0:row>
    <ns0:row r="7" customFormat="false" ht="16.4" hidden="false" customHeight="false" outlineLevel="0" collapsed="false">
      <ns0:c r="A7" s="11" t="n">
        <ns0:v>44682</ns0:v>
      </ns0:c>
      <ns0:c r="B7" s="12"/>
      <ns0:c r="C7" s="12"/>
      <ns0:c r="D7" s="12"/>
      <ns0:c r="E7" s="13">
        <ns0:v>100.68</ns0:v>
      </ns0:c>
      <ns0:c r="F7" s="13">
        <ns0:v>116.3</ns0:v>
      </ns0:c>
      <ns0:c r="G7" s="12">
        <ns0:v>100.68</ns0:v>
      </ns0:c>
      <ns0:c r="H7" s="12">
        <ns0:v>116.31</ns0:v>
      </ns0:c>
      <ns0:c r="I7" s="14" t="n">
        <ns0:f aca="false">AVERAGE($E5:$E7)^12/100^11-100</ns0:f>
        <ns0:v>45.4257011947349</ns0:v>
      </ns0:c>
      <ns0:c r="J7" s="3"/>
      <ns0:c r="K7" s="3"/>
      <ns0:c r="L7" s="3"/>
      <ns0:c r="M7" s="3"/>
    </ns0:row>
    <ns0:row r="8" customFormat="false" ht="14.25" hidden="false" customHeight="false" outlineLevel="0" collapsed="false">
      <ns0:c r="A8" s="16" t="n">
        <ns0:v>44713</ns0:v>
      </ns0:c>
      <ns0:c r="B8" s="17"/>
      <ns0:c r="C8" s="17"/>
      <ns0:c r="D8" s="17"/>
      <ns0:c r="E8" s="18">
        <ns0:v>99.32</ns0:v>
      </ns0:c>
      <ns0:c r="F8" s="18">
        <ns0:v>114.87</ns0:v>
      </ns0:c>
      <ns0:c r="G8" s="17">
        <ns0:v>99.32</ns0:v>
      </ns0:c>
      <ns0:c r="H8" s="17">
        <ns0:v>114.88</ns0:v>
      </ns0:c>
      <ns0:c r="I8" s="14" t="n">
        <ns0:f aca="false">AVERAGE($E6:$E8)^12/100^11-100</ns0:f>
        <ns0:v>13.938422005549</ns0:v>
      </ns0:c>
      <ns0:c r="J8" s="3"/>
      <ns0:c r="K8" s="3"/>
      <ns0:c r="L8" s="3"/>
      <ns0:c r="M8" s="3"/>
    </ns0:row>
    <ns0:row r="9" customFormat="false" ht="16.4" hidden="false" customHeight="false" outlineLevel="0" collapsed="false">
      <ns0:c r="A9" s="11" t="n">
        <ns0:v>44743</ns0:v>
      </ns0:c>
      <ns0:c r="B9" s="17"/>
      <ns0:c r="C9" s="17"/>
      <ns0:c r="D9" s="17"/>
      <ns0:c r="E9" s="18">
        <ns0:v>99.23</ns0:v>
      </ns0:c>
      <ns0:c r="F9" s="18">
        <ns0:v>113.73</ns0:v>
      </ns0:c>
      <ns0:c r="G9" s="17">
        <ns0:v>99.23</ns0:v>
      </ns0:c>
      <ns0:c r="H9" s="17">
        <ns0:v>113.75</ns0:v>
      </ns0:c>
      <ns0:c r="I9" s="14" t="n">
        <ns0:f aca="false">AVERAGE($E7:$E9)^12/100^11-100</ns0:f>
        <ns0:v>-3.03689051707281</ns0:v>
      </ns0:c>
      <ns0:c r="J9" s="3"/>
      <ns0:c r="K9" s="3"/>
      <ns0:c r="L9" s="3"/>
      <ns0:c r="M9" s="3"/>
    </ns0:row>
    <ns0:row r="10" customFormat="false" ht="14.25" hidden="false" customHeight="false" outlineLevel="0" collapsed="false">
      <ns0:c r="A10" s="16" t="n">
        <ns0:v>44774</ns0:v>
      </ns0:c>
      <ns0:c r="B10" s="17"/>
      <ns0:c r="C10" s="17"/>
      <ns0:c r="D10" s="17"/>
      <ns0:c r="E10" s="18">
        <ns0:v>99.43</ns0:v>
      </ns0:c>
      <ns0:c r="F10" s="18">
        <ns0:v>112.9</ns0:v>
      </ns0:c>
      <ns0:c r="G10" s="17">
        <ns0:v>99.43</ns0:v>
      </ns0:c>
      <ns0:c r="H10" s="17">
        <ns0:v>112.92</ns0:v>
      </ns0:c>
      <ns0:c r="I10" s="14" t="n">
        <ns0:f aca="false">AVERAGE($E8:$E10)^12/100^11-100</ns0:f>
        <ns0:v>-7.78738604247022</ns0:v>
      </ns0:c>
      <ns0:c r="J10" s="3"/>
      <ns0:c r="K10" s="3"/>
      <ns0:c r="L10" s="3"/>
      <ns0:c r="M10" s="3"/>
    </ns0:row>
    <ns0:row r="11" customFormat="false" ht="16.4" hidden="false" customHeight="false" outlineLevel="0" collapsed="false">
      <ns0:c r="A11" s="11" t="n">
        <ns0:v>44805</ns0:v>
      </ns0:c>
      <ns0:c r="B11" s="17"/>
      <ns0:c r="C11" s="17"/>
      <ns0:c r="D11" s="17"/>
      <ns0:c r="E11" s="18">
        <ns0:v>100.33</ns0:v>
      </ns0:c>
      <ns0:c r="F11" s="18">
        <ns0:v>112.46</ns0:v>
      </ns0:c>
      <ns0:c r="G11" s="17">
        <ns0:v>100.33</ns0:v>
      </ns0:c>
      <ns0:c r="H11" s="17">
        <ns0:v>112.46</ns0:v>
      </ns0:c>
      <ns0:c r="I11" s="14" t="n">
        <ns0:f aca="false">AVERAGE($E9:$E11)^12/100^11-100</ns0:f>
        <ns0:v>-3.96602584605935</ns0:v>
      </ns0:c>
      <ns0:c r="J11" s="3"/>
      <ns0:c r="K11" s="3"/>
      <ns0:c r="L11" s="3"/>
      <ns0:c r="M11" s="3"/>
    </ns0:row>
    <ns0:row r="12" customFormat="false" ht="14.25" hidden="false" customHeight="false" outlineLevel="0" collapsed="false">
      <ns0:c r="A12" s="16" t="n">
        <ns0:v>44835</ns0:v>
      </ns0:c>
      <ns0:c r="B12" s="17"/>
      <ns0:c r="C12" s="17"/>
      <ns0:c r="D12" s="17"/>
      <ns0:c r="E12" s="18">
        <ns0:v>100.66</ns0:v>
      </ns0:c>
      <ns0:c r="F12" s="18">
        <ns0:v>112.17</ns0:v>
      </ns0:c>
      <ns0:c r="G12" s="17">
        <ns0:v>100.66</ns0:v>
      </ns0:c>
      <ns0:c r="H12" s="17">
        <ns0:v>112.17</ns0:v>
      </ns0:c>
      <ns0:c r="I12" s="14" t="n">
        <ns0:f aca="false">AVERAGE($E10:$E12)^12/100^11-100</ns0:f>
        <ns0:v>1.69299655858586</ns0:v>
      </ns0:c>
      <ns0:c r="J12" s="3"/>
      <ns0:c r="K12" s="3"/>
      <ns0:c r="L12" s="3"/>
      <ns0:c r="M12" s="3"/>
    </ns0:row>
    <ns0:row r="13" customFormat="false" ht="16.4" hidden="false" customHeight="false" outlineLevel="0" collapsed="false">
      <ns0:c r="A13" s="11" t="n">
        <ns0:v>44866</ns0:v>
      </ns0:c>
      <ns0:c r="B13" s="17"/>
      <ns0:c r="C13" s="17"/>
      <ns0:c r="D13" s="17"/>
      <ns0:c r="E13" s="18">
        <ns0:v>100.26</ns0:v>
      </ns0:c>
      <ns0:c r="F13" s="18">
        <ns0:v>111.5</ns0:v>
      </ns0:c>
      <ns0:c r="G13" s="17">
        <ns0:v>100.26</ns0:v>
      </ns0:c>
      <ns0:c r="H13" s="17">
        <ns0:v>111.51</ns0:v>
      </ns0:c>
      <ns0:c r="I13" s="14" t="n">
        <ns0:f aca="false">AVERAGE($E11:$E13)^12/100^11-100</ns0:f>
        <ns0:v>5.11618978817337</ns0:v>
      </ns0:c>
      <ns0:c r="J13" s="3"/>
      <ns0:c r="K13" s="3"/>
      <ns0:c r="L13" s="3"/>
      <ns0:c r="M13" s="3"/>
    </ns0:row>
    <ns0:row r="14" customFormat="false" ht="14.25" hidden="false" customHeight="false" outlineLevel="0" collapsed="false">
      <ns0:c r="A14" s="16" t="n">
        <ns0:v>44896</ns0:v>
      </ns0:c>
      <ns0:c r="B14" s="17"/>
      <ns0:c r="C14" s="17"/>
      <ns0:c r="D14" s="17"/>
      <ns0:c r="E14" s="18">
        <ns0:v>100.57</ns0:v>
      </ns0:c>
      <ns0:c r="F14" s="18">
        <ns0:v>111.9</ns0:v>
      </ns0:c>
      <ns0:c r="G14" s="17">
        <ns0:v>100.57</ns0:v>
      </ns0:c>
      <ns0:c r="H14" s="17">
        <ns0:v>111.9</ns0:v>
      </ns0:c>
      <ns0:c r="I14" s="14" t="n">
        <ns0:f aca="false">AVERAGE($E12:$E14)^12/100^11-100</ns0:f>
        <ns0:v>6.12553306065077</ns0:v>
      </ns0:c>
      <ns0:c r="J14" s="3"/>
      <ns0:c r="K14" s="3"/>
      <ns0:c r="L14" s="3"/>
      <ns0:c r="M14" s="3"/>
    </ns0:row>
    <ns0:row r="15" customFormat="false" ht="16.4" hidden="false" customHeight="false" outlineLevel="0" collapsed="false">
      <ns0:c r="A15" s="11" t="n">
        <ns0:v>44927</ns0:v>
      </ns0:c>
      <ns0:c r="B15" s="17"/>
      <ns0:c r="C15" s="17"/>
      <ns0:c r="D15" s="17"/>
      <ns0:c r="E15" s="18">
        <ns0:v>101.13</ns0:v>
      </ns0:c>
      <ns0:c r="F15" s="18">
        <ns0:v>111.8</ns0:v>
      </ns0:c>
      <ns0:c r="G15" s="17">
        <ns0:v>101.13</ns0:v>
      </ns0:c>
      <ns0:c r="H15" s="17">
        <ns0:v>111.8</ns0:v>
      </ns0:c>
      <ns0:c r="I15" s="14" t="n">
        <ns0:f aca="false">AVERAGE($E13:$E15)^12/100^11-100</ns0:f>
        <ns0:v>8.12794364790587</ns0:v>
      </ns0:c>
      <ns0:c r="J15" s="3"/>
      <ns0:c r="K15" s="3"/>
      <ns0:c r="L15" s="3"/>
      <ns0:c r="M15" s="3"/>
    </ns0:row>
    <ns0:row r="16" customFormat="false" ht="14.25" hidden="false" customHeight="false" outlineLevel="0" collapsed="false">
      <ns0:c r="A16" s="16" t="n">
        <ns0:v>44958</ns0:v>
      </ns0:c>
      <ns0:c r="B16" s="19"/>
      <ns0:c r="C16" s="19"/>
      <ns0:c r="D16" s="19"/>
      <ns0:c r="E16" s="20">
        <ns0:v>100.75</ns0:v>
      </ns0:c>
      <ns0:c r="F16" s="20">
        <ns0:v>111.59</ns0:v>
      </ns0:c>
      <ns0:c r="G16" s="19">
        <ns0:v>100.75</ns0:v>
      </ns0:c>
      <ns0:c r="H16" s="19">
        <ns0:v>111.59</ns0:v>
      </ns0:c>
      <ns0:c r="I16" s="14" t="n">
        <ns0:f aca="false">AVERAGE($E14:$E16)^12/100^11-100</ns0:f>
        <ns0:v>10.2523891898909</ns0:v>
      </ns0:c>
      <ns0:c r="J16" s="3"/>
      <ns0:c r="K16" s="3"/>
      <ns0:c r="L16" s="3"/>
      <ns0:c r="M16" s="3"/>
    </ns0:row>
    <ns0:row r="17" customFormat="false" ht="16.4" hidden="false" customHeight="false" outlineLevel="0" collapsed="false">
      <ns0:c r="A17" s="11" t="n">
        <ns0:v>44986</ns0:v>
      </ns0:c>
      <ns0:c r="B17" s="19"/>
      <ns0:c r="C17" s="19"/>
      <ns0:c r="D17" s="19"/>
      <ns0:c r="E17" s="21">
        <ns0:v>100.39</ns0:v>
      </ns0:c>
      <ns0:c r="F17" s="20">
        <ns0:v>106.13</ns0:v>
      </ns0:c>
      <ns0:c r="G17" s="19">
        <ns0:v>100.39</ns0:v>
      </ns0:c>
      <ns0:c r="H17" s="19">
        <ns0:v>106.14</ns0:v>
      </ns0:c>
      <ns0:c r="I17" s="14" t="n">
        <ns0:f aca="false">AVERAGE($E15:$E17)^12/100^11-100</ns0:f>
        <ns0:v>9.46757453632417</ns0:v>
      </ns0:c>
      <ns0:c r="J17" s="3"/>
      <ns0:c r="K17" s="3"/>
      <ns0:c r="L17" s="3"/>
      <ns0:c r="M17" s="3"/>
    </ns0:row>
    <ns0:row r="18" customFormat="false" ht="14.25" hidden="false" customHeight="false" outlineLevel="0" collapsed="false">
      <ns0:c r="A18" s="16" t="n">
        <ns0:v>45017</ns0:v>
      </ns0:c>
      <ns0:c r="B18" s="19"/>
      <ns0:c r="C18" s="19"/>
      <ns0:c r="D18" s="19"/>
      <ns0:c r="E18" s="22">
        <ns0:v>100.72</ns0:v>
      </ns0:c>
      <ns0:c r="F18" s="20">
        <ns0:v>103.5</ns0:v>
      </ns0:c>
      <ns0:c r="G18" s="19">
        <ns0:v>100.72</ns0:v>
      </ns0:c>
      <ns0:c r="H18" s="19">
        <ns0:v>103.51</ns0:v>
      </ns0:c>
      <ns0:c r="I18" s="14" t="n">
        <ns0:f aca="false">AVERAGE($E16:$E18)^12/100^11-100</ns0:f>
        <ns0:v>7.69902108971681</ns0:v>
      </ns0:c>
      <ns0:c r="J18" s="3"/>
      <ns0:c r="K18" s="3"/>
      <ns0:c r="L18" s="3"/>
      <ns0:c r="M18" s="3"/>
    </ns0:row>
    <ns0:row r="19" customFormat="false" ht="16.4" hidden="false" customHeight="false" outlineLevel="0" collapsed="false">
      <ns0:c r="A19" s="11" t="n">
        <ns0:v>45047</ns0:v>
      </ns0:c>
      <ns0:c r="B19" s="19"/>
      <ns0:c r="C19" s="19"/>
      <ns0:c r="D19" s="19"/>
      <ns0:c r="E19" s="22">
        <ns0:v>99.75</ns0:v>
      </ns0:c>
      <ns0:c r="F19" s="20">
        <ns0:v>102.55</ns0:v>
      </ns0:c>
      <ns0:c r="G19" s="19">
        <ns0:v>99.75</ns0:v>
      </ns0:c>
      <ns0:c r="H19" s="19">
        <ns0:v>102.55</ns0:v>
      </ns0:c>
      <ns0:c r="I19" s="14" t="n">
        <ns0:f aca="false">AVERAGE($E17:$E19)^12/100^11-100</ns0:f>
        <ns0:v>3.49475895939679</ns0:v>
      </ns0:c>
      <ns0:c r="J19" s="23"/>
      <ns0:c r="K19" s="23"/>
      <ns0:c r="L19" s="23"/>
      <ns0:c r="M19" s="23"/>
    </ns0:row>
    <ns0:row r="20" customFormat="false" ht="14.25" hidden="false" customHeight="false" outlineLevel="0" collapsed="false">
      <ns0:c r="A20" s="16" t="n">
        <ns0:v>45078</ns0:v>
      </ns0:c>
      <ns0:c r="B20" s="19"/>
      <ns0:c r="C20" s="19"/>
      <ns0:c r="D20" s="19"/>
      <ns0:c r="E20" s="22">
        <ns0:v>100.43</ns0:v>
      </ns0:c>
      <ns0:c r="F20" s="20">
        <ns0:v>103.69</ns0:v>
      </ns0:c>
      <ns0:c r="G20" s="19">
        <ns0:v>100.43</ns0:v>
      </ns0:c>
      <ns0:c r="H20" s="19">
        <ns0:v>103.69</ns0:v>
      </ns0:c>
      <ns0:c r="I20" s="14" t="n">
        <ns0:f aca="false">AVERAGE($E18:$E20)^12/100^11-100</ns0:f>
        <ns0:v>3.65999802881309</ns0:v>
      </ns0:c>
      <ns0:c r="J20" s="3"/>
      <ns0:c r="K20" s="3"/>
      <ns0:c r="L20" s="3"/>
      <ns0:c r="M20" s="3"/>
    </ns0:row>
    <ns0:row r="21" customFormat="false" ht="16.4" hidden="false" customHeight="false" outlineLevel="0" collapsed="false">
      <ns0:c r="A21" s="11" t="n">
        <ns0:v>45108</ns0:v>
      </ns0:c>
      <ns0:c r="B21" s="19"/>
      <ns0:c r="C21" s="19"/>
      <ns0:c r="D21" s="19"/>
      <ns0:c r="E21" s="22">
        <ns0:v>100.5</ns0:v>
      </ns0:c>
      <ns0:c r="F21" s="20">
        <ns0:v>105.02</ns0:v>
      </ns0:c>
      <ns0:c r="G21" s="19">
        <ns0:v>100.5</ns0:v>
      </ns0:c>
      <ns0:c r="H21" s="19">
        <ns0:v>105.03</ns0:v>
      </ns0:c>
      <ns0:c r="I21" s="14" t="n">
        <ns0:f aca="false">AVERAGE($E19:$E21)^12/100^11-100</ns0:f>
        <ns0:v>2.75416684857622</ns0:v>
      </ns0:c>
      <ns0:c r="J21" s="3"/>
      <ns0:c r="K21" s="3"/>
      <ns0:c r="L21" s="3"/>
      <ns0:c r="M21" s="3"/>
    </ns0:row>
    <ns0:row r="22" customFormat="false" ht="14.25" hidden="false" customHeight="false" outlineLevel="0" collapsed="false">
      <ns0:c r="A22" s="16" t="n">
        <ns0:v>45139</ns0:v>
      </ns0:c>
      <ns0:c r="B22" s="19"/>
      <ns0:c r="C22" s="19"/>
      <ns0:c r="D22" s="19"/>
      <ns0:c r="E22" s="22">
        <ns0:v>99.93</ns0:v>
      </ns0:c>
      <ns0:c r="F22" s="20">
        <ns0:v>105.55</ns0:v>
      </ns0:c>
      <ns0:c r="G22" s="24">
        <ns0:v>99.93</ns0:v>
      </ns0:c>
      <ns0:c r="H22" s="24">
        <ns0:v>105.56</ns0:v>
      </ns0:c>
      <ns0:c r="I22" s="14" t="n">
        <ns0:f aca="false">AVERAGE($E20:$E22)^12/100^11-100</ns0:f>
        <ns0:v>3.49475895939679</ns0:v>
      </ns0:c>
      <ns0:c r="J22" s="25"/>
      <ns0:c r="K22" s="25"/>
      <ns0:c r="L22" s="25"/>
      <ns0:c r="M22" s="25"/>
    </ns0:row>
    <ns0:row r="23" customFormat="false" ht="16.4" hidden="false" customHeight="false" outlineLevel="0" collapsed="false">
      <ns0:c r="A23" s="11" t="n">
        <ns0:v>45170</ns0:v>
      </ns0:c>
      <ns0:c r="B23" s="26"/>
      <ns0:c r="C23" s="26"/>
      <ns0:c r="D23" s="26"/>
      <ns0:c r="E23" s="22">
        <ns0:v>101.75</ns0:v>
      </ns0:c>
      <ns0:c r="F23" s="20">
        <ns0:v>107.04</ns0:v>
      </ns0:c>
      <ns0:c r="G23" s="24">
        <ns0:v>101.75</ns0:v>
      </ns0:c>
      <ns0:c r="H23" s="24">
        <ns0:v>107.05</ns0:v>
      </ns0:c>
      <ns0:c r="I23" s="14" t="n">
        <ns0:f aca="false">AVERAGE($E21:$E23)^12/100^11-100</ns0:f>
        <ns0:v>9.07709064358237</ns0:v>
      </ns0:c>
      <ns0:c r="J23" s="25"/>
      <ns0:c r="K23" s="25"/>
      <ns0:c r="L23" s="25"/>
      <ns0:c r="M23" s="25"/>
    </ns0:row>
    <ns0:row r="24" customFormat="false" ht="14.25" hidden="false" customHeight="false" outlineLevel="0" collapsed="false">
      <ns0:c r="A24" s="16" t="n">
        <ns0:v>45200</ns0:v>
      </ns0:c>
      <ns0:c r="B24" s="24" t="n">
        <ns0:f aca="false">E24-0.5</ns0:f>
        <ns0:v>99.96</ns0:v>
      </ns0:c>
      <ns0:c r="C24" s="24"/>
      <ns0:c r="D24" s="24"/>
      <ns0:c r="E24" s="22">
        <ns0:v>100.46</ns0:v>
      </ns0:c>
      <ns0:c r="F24" s="20">
        <ns0:v>106.83</ns0:v>
      </ns0:c>
      <ns0:c r="G24" s="24">
        <ns0:v>100.46</ns0:v>
      </ns0:c>
      <ns0:c r="H24" s="24">
        <ns0:v>106.84</ns0:v>
      </ns0:c>
      <ns0:c r="I24" s="14" t="n">
        <ns0:f aca="false">AVERAGE($E22:$E24)^12/100^11-100</ns0:f>
        <ns0:v>8.90395244059377</ns0:v>
      </ns0:c>
      <ns0:c r="J24" s="25"/>
      <ns0:c r="K24" s="25"/>
      <ns0:c r="L24" s="25"/>
      <ns0:c r="M24" s="25"/>
    </ns0:row>
    <ns0:row r="25" customFormat="false" ht="16.4" hidden="false" customHeight="false" outlineLevel="0" collapsed="false">
      <ns0:c r="A25" s="11" t="n">
        <ns0:v>45231</ns0:v>
      </ns0:c>
      <ns0:c r="B25" s="26"/>
      <ns0:c r="C25" s="26"/>
      <ns0:c r="D25" s="26"/>
      <ns0:c r="E25" s="22">
        <ns0:v>100.74</ns0:v>
      </ns0:c>
      <ns0:c r="F25" s="20">
        <ns0:v>107.34</ns0:v>
      </ns0:c>
      <ns0:c r="G25" s="24">
        <ns0:v>100.74</ns0:v>
      </ns0:c>
      <ns0:c r="H25" s="26">
        <ns0:v>107.34</ns0:v>
      </ns0:c>
      <ns0:c r="I25" s="14" t="n">
        <ns0:f aca="false">AVERAGE($E23:$E25)^12/100^11-100</ns0:f>
        <ns0:v>12.4595717465677</ns0:v>
      </ns0:c>
      <ns0:c r="J25" s="25"/>
      <ns0:c r="K25" s="25"/>
      <ns0:c r="L25" s="25"/>
      <ns0:c r="M25" s="25"/>
    </ns0:row>
    <ns0:row r="26" customFormat="false" ht="14.25" hidden="false" customHeight="false" outlineLevel="0" collapsed="false">
      <ns0:c r="A26" s="16" t="n">
        <ns0:v>45261</ns0:v>
      </ns0:c>
      <ns0:c r="B26" s="24"/>
      <ns0:c r="C26" s="24"/>
      <ns0:c r="D26" s="24"/>
      <ns0:c r="E26" s="22">
        <ns0:v>100.29</ns0:v>
      </ns0:c>
      <ns0:c r="F26" s="20">
        <ns0:v>107.04</ns0:v>
      </ns0:c>
      <ns0:c r="G26" s="24">
        <ns0:v>100.29</ns0:v>
      </ns0:c>
      <ns0:c r="H26" s="24">
        <ns0:v>107.05</ns0:v>
      </ns0:c>
      <ns0:c r="I26" s="14" t="n">
        <ns0:f aca="false">AVERAGE($E24:$E26)^12/100^11-100</ns0:f>
        <ns0:v>6.12553306065077</ns0:v>
      </ns0:c>
      <ns0:c r="J26" s="25"/>
      <ns0:c r="K26" s="25"/>
      <ns0:c r="L26" s="25"/>
      <ns0:c r="M26" s="25"/>
    </ns0:row>
    <ns0:row r="27" customFormat="false" ht="15" hidden="false" customHeight="true" outlineLevel="0" collapsed="false">
      <ns0:c r="A27" s="11" t="n">
        <ns0:v>45292</ns0:v>
      </ns0:c>
      <ns0:c r="B27" s="24"/>
      <ns0:c r="C27" s="24"/>
      <ns0:c r="D27" s="24"/>
      <ns0:c r="E27" s="22">
        <ns0:v>100.87</ns0:v>
      </ns0:c>
      <ns0:c r="F27" s="20">
        <ns0:v>106.77</ns0:v>
      </ns0:c>
      <ns0:c r="G27" s="24">
        <ns0:v>100.87</ns0:v>
      </ns0:c>
      <ns0:c r="H27" s="24">
        <ns0:v>106.77</ns0:v>
      </ns0:c>
      <ns0:c r="I27" s="14" t="n">
        <ns0:f aca="false">AVERAGE($E25:$E27)^12/100^11-100</ns0:f>
        <ns0:v>7.87040260177953</ns0:v>
      </ns0:c>
      <ns0:c r="J27" s="25"/>
      <ns0:c r="K27" s="25"/>
      <ns0:c r="L27" s="25"/>
      <ns0:c r="M27" s="25"/>
    </ns0:row>
    <ns0:row r="28" customFormat="false" ht="14.25" hidden="false" customHeight="false" outlineLevel="0" collapsed="false">
      <ns0:c r="A28" s="16" t="n">
        <ns0:v>45323</ns0:v>
      </ns0:c>
      <ns0:c r="B28" s="24"/>
      <ns0:c r="C28" s="24"/>
      <ns0:c r="D28" s="24"/>
      <ns0:c r="E28" s="22">
        <ns0:v>100.53</ns0:v>
      </ns0:c>
      <ns0:c r="F28" s="20">
        <ns0:v>106.53</ns0:v>
      </ns0:c>
      <ns0:c r="G28" s="24">
        <ns0:v>100.53</ns0:v>
      </ns0:c>
      <ns0:c r="H28" s="24">
        <ns0:v>106.54</ns0:v>
      </ns0:c>
      <ns0:c r="I28" s="14" t="n">
        <ns0:f aca="false">AVERAGE($E26:$E28)^12/100^11-100</ns0:f>
        <ns0:v>6.97343059130941</ns0:v>
      </ns0:c>
      <ns0:c r="J28" s="25"/>
      <ns0:c r="K28" s="25"/>
      <ns0:c r="L28" s="25"/>
      <ns0:c r="M28" s="25"/>
    </ns0:row>
    <ns0:row r="29" customFormat="false" ht="16.4" hidden="false" customHeight="false" outlineLevel="0" collapsed="false">
      <ns0:c r="A29" s="11" t="n">
        <ns0:v>45352</ns0:v>
      </ns0:c>
      <ns0:c r="B29" s="24"/>
      <ns0:c r="C29" s="24"/>
      <ns0:c r="D29" s="24"/>
      <ns0:c r="E29" s="22">
        <ns0:v>100.53</ns0:v>
      </ns0:c>
      <ns0:c r="F29" s="20">
        <ns0:v>106.68</ns0:v>
      </ns0:c>
      <ns0:c r="G29" s="24">
        <ns0:v>100.53</ns0:v>
      </ns0:c>
      <ns0:c r="H29" s="24">
        <ns0:v>106.68</ns0:v>
      </ns0:c>
      <ns0:c r="I29" s="14" t="n">
        <ns0:f aca="false">AVERAGE($E27:$E29)^12/100^11-100</ns0:f>
        <ns0:v>7.99910275378316</ns0:v>
      </ns0:c>
      <ns0:c r="J29" s="25"/>
      <ns0:c r="K29" s="25"/>
      <ns0:c r="L29" s="25"/>
      <ns0:c r="M29" s="25"/>
    </ns0:row>
    <ns0:row r="30" customFormat="false" ht="14.25" hidden="false" customHeight="false" outlineLevel="0" collapsed="false">
      <ns0:c r="A30" s="16" t="n">
        <ns0:v>45383</ns0:v>
      </ns0:c>
      <ns0:c r="B30" s="24"/>
      <ns0:c r="C30" s="24"/>
      <ns0:c r="D30" s="24"/>
      <ns0:c r="E30" s="21">
        <ns0:v>100.38</ns0:v>
      </ns0:c>
      <ns0:c r="F30" s="20">
        <ns0:v>106.32</ns0:v>
      </ns0:c>
      <ns0:c r="G30" s="24">
        <ns0:v>100.38</ns0:v>
      </ns0:c>
      <ns0:c r="H30" s="24">
        <ns0:v>106.32</ns0:v>
      </ns0:c>
      <ns0:c r="I30" s="14" t="n">
        <ns0:f aca="false">AVERAGE($E28:$E30)^12/100^11-100</ns0:f>
        <ns0:v>5.91452350359876</ns0:v>
      </ns0:c>
      <ns0:c r="J30" s="25"/>
      <ns0:c r="K30" s="25"/>
      <ns0:c r="L30" s="25"/>
      <ns0:c r="M30" s="25"/>
    </ns0:row>
    <ns0:row r="31" customFormat="false" ht="16.4" hidden="false" customHeight="false" outlineLevel="0" collapsed="false">
      <ns0:c r="A31" s="11" t="n">
        <ns0:v>45413</ns0:v>
      </ns0:c>
      <ns0:c r="B31" s="24"/>
      <ns0:c r="C31" s="24"/>
      <ns0:c r="D31" s="24"/>
      <ns0:c r="E31" s="21">
        <ns0:v>100.94</ns0:v>
      </ns0:c>
      <ns0:c r="F31" s="20">
        <ns0:v>107.59</ns0:v>
      </ns0:c>
      <ns0:c r="G31" s="24">
        <ns0:v>100.94</ns0:v>
      </ns0:c>
      <ns0:c r="H31" s="24">
        <ns0:v>107.59</ns0:v>
      </ns0:c>
      <ns0:c r="I31" s="14" t="n">
        <ns0:f aca="false">AVERAGE($E29:$E31)^12/100^11-100</ns0:f>
        <ns0:v>7.65621472911278</ns0:v>
      </ns0:c>
      <ns0:c r="J31" s="25"/>
      <ns0:c r="K31" s="25"/>
      <ns0:c r="L31" s="25"/>
      <ns0:c r="M31" s="25"/>
    </ns0:row>
    <ns0:row r="32" customFormat="false" ht="14.25" hidden="false" customHeight="false" outlineLevel="0" collapsed="false">
      <ns0:c r="A32" s="16" t="n">
        <ns0:v>45444</ns0:v>
      </ns0:c>
      <ns0:c r="B32" s="24"/>
      <ns0:c r="C32" s="24"/>
      <ns0:c r="D32" s="24"/>
      <ns0:c r="E32" s="21">
        <ns0:v>100.18</ns0:v>
      </ns0:c>
      <ns0:c r="F32" s="20">
        <ns0:v>107.32</ns0:v>
      </ns0:c>
      <ns0:c r="G32" s="24">
        <ns0:v>100.18</ns0:v>
      </ns0:c>
      <ns0:c r="H32" s="24">
        <ns0:v>107.33</ns0:v>
      </ns0:c>
      <ns0:c r="I32" s="14" t="n">
        <ns0:f aca="false">AVERAGE($E30:$E32)^12/100^11-100</ns0:f>
        <ns0:v>6.16778118644996</ns0:v>
      </ns0:c>
      <ns0:c r="J32" s="25"/>
      <ns0:c r="K32" s="25"/>
      <ns0:c r="L32" s="25"/>
      <ns0:c r="M32" s="25"/>
    </ns0:row>
    <ns0:row r="33" customFormat="false" ht="16.4" hidden="false" customHeight="false" outlineLevel="0" collapsed="false">
      <ns0:c r="A33" s="11" t="n">
        <ns0:v>45474</ns0:v>
      </ns0:c>
      <ns0:c r="B33" s="24"/>
      <ns0:c r="C33" s="24"/>
      <ns0:c r="D33" s="24"/>
      <ns0:c r="E33" s="21">
        <ns0:v>101.07</ns0:v>
      </ns0:c>
      <ns0:c r="F33" s="20">
        <ns0:v>107.93</ns0:v>
      </ns0:c>
      <ns0:c r="G33" s="24">
        <ns0:v>101.07</ns0:v>
      </ns0:c>
      <ns0:c r="H33" s="24">
        <ns0:v>107.94</ns0:v>
      </ns0:c>
      <ns0:c r="I33" s="14" t="n">
        <ns0:f aca="false">AVERAGE($E31:$E33)^12/100^11-100</ns0:f>
        <ns0:v>9.12041460123689</ns0:v>
      </ns0:c>
      <ns0:c r="J33" s="25"/>
      <ns0:c r="K33" s="25"/>
      <ns0:c r="L33" s="25"/>
      <ns0:c r="M33" s="25"/>
    </ns0:row>
    <ns0:row r="34" customFormat="false" ht="14.25" hidden="false" customHeight="false" outlineLevel="0" collapsed="false">
      <ns0:c r="A34" s="16" t="n">
        <ns0:v>45505</ns0:v>
      </ns0:c>
      <ns0:c r="B34" s="24"/>
      <ns0:c r="C34" s="24"/>
      <ns0:c r="D34" s="24"/>
      <ns0:c r="E34" s="22">
        <ns0:v>100.09</ns0:v>
      </ns0:c>
      <ns0:c r="F34" s="20">
        <ns0:v>108.1</ns0:v>
      </ns0:c>
      <ns0:c r="G34" s="24">
        <ns0:v>100.09</ns0:v>
      </ns0:c>
      <ns0:c r="H34" s="24">
        <ns0:v>108.1</ns0:v>
      </ns0:c>
      <ns0:c r="I34" s="14" t="n">
        <ns0:f aca="false">AVERAGE($E32:$E34)^12/100^11-100</ns0:f>
        <ns0:v>5.49365770738656</ns0:v>
      </ns0:c>
      <ns0:c r="J34" s="25"/>
      <ns0:c r="K34" s="25"/>
      <ns0:c r="L34" s="25"/>
      <ns0:c r="M34" s="25"/>
    </ns0:row>
    <ns0:row r="35" customFormat="false" ht="14.25" hidden="false" customHeight="true" outlineLevel="0" collapsed="false">
      <ns0:c r="A35" s="11" t="n">
        <ns0:v>45536</ns0:v>
      </ns0:c>
      <ns0:c r="B35" s="24"/>
      <ns0:c r="C35" s="24"/>
      <ns0:c r="D35" s="24"/>
      <ns0:c r="E35" s="21">
        <ns0:v>100.62</ns0:v>
      </ns0:c>
      <ns0:c r="F35" s="20">
        <ns0:v>106.9</ns0:v>
      </ns0:c>
      <ns0:c r="G35" s="24">
        <ns0:v>100.62</ns0:v>
      </ns0:c>
      <ns0:c r="H35" s="24">
        <ns0:v>106.91</ns0:v>
      </ns0:c>
      <ns0:c r="I35" s="14" t="n">
        <ns0:f aca="false">AVERAGE($E33:$E35)^12/100^11-100</ns0:f>
        <ns0:v>7.35700662123239</ns0:v>
      </ns0:c>
      <ns0:c r="J35" s="25"/>
      <ns0:c r="K35" s="25"/>
      <ns0:c r="L35" s="25"/>
      <ns0:c r="M35" s="25"/>
    </ns0:row>
    <ns0:row r="36" customFormat="false" ht="14.25" hidden="false" customHeight="false" outlineLevel="0" collapsed="false">
      <ns0:c r="A36" s="16" t="n">
        <ns0:v>45566</ns0:v>
      </ns0:c>
      <ns0:c r="B36" s="24"/>
      <ns0:c r="C36" s="24"/>
      <ns0:c r="D36" s="24"/>
      <ns0:c r="E36" s="22">
        <ns0:v>101.02</ns0:v>
      </ns0:c>
      <ns0:c r="F36" s="20">
        <ns0:v>107.5</ns0:v>
      </ns0:c>
      <ns0:c r="G36" s="24">
        <ns0:v>101.02</ns0:v>
      </ns0:c>
      <ns0:c r="H36" s="24">
        <ns0:v>107.49</ns0:v>
      </ns0:c>
      <ns0:c r="I36" s="14" t="n">
        <ns0:f aca="false">AVERAGE($E34:$E36)^12/100^11-100</ns0:f>
        <ns0:v>7.14375346230894</ns0:v>
      </ns0:c>
      <ns0:c r="J36" s="25"/>
      <ns0:c r="K36" s="25"/>
      <ns0:c r="L36" s="25"/>
      <ns0:c r="M36" s="25"/>
    </ns0:row>
    <ns0:row r="37" customFormat="false" ht="16.4" hidden="false" customHeight="false" outlineLevel="0" collapsed="false">
      <ns0:c r="A37" s="27" t="n">
        <ns0:v>45597</ns0:v>
      </ns0:c>
      <ns0:c r="B37" s="28"/>
      <ns0:c r="C37" s="28"/>
      <ns0:c r="D37" s="28"/>
      <ns0:c r="E37" s="29">
        <ns0:v>101.5</ns0:v>
      </ns0:c>
      <ns0:c r="F37" s="30">
        <ns0:v>108.31</ns0:v>
      </ns0:c>
      <ns0:c r="G37" s="28">
        <ns0:v>101.5</ns0:v>
      </ns0:c>
      <ns0:c r="H37" s="28">
        <ns0:v>108.31</ns0:v>
      </ns0:c>
      <ns0:c r="I37" s="14" t="n">
        <ns0:f aca="false">AVERAGE($E35:$E37)^12/100^11-100</ns0:f>
        <ns0:v>13.3088674453934</ns0:v>
      </ns0:c>
      <ns0:c r="J37" s="25"/>
      <ns0:c r="K37" s="25"/>
      <ns0:c r="L37" s="25"/>
      <ns0:c r="M37" s="25"/>
    </ns0:row>
    <ns0:row r="38" customFormat="false" ht="14.25" hidden="false" customHeight="false" outlineLevel="0" collapsed="false">
      <ns0:c r="A38" s="16" t="n">
        <ns0:v>45627</ns0:v>
      </ns0:c>
      <ns0:c r="B38" s="31"/>
      <ns0:c r="C38" s="31"/>
      <ns0:c r="D38" s="31"/>
      <ns0:c r="E38" s="22">
        <ns0:v>100.91</ns0:v>
      </ns0:c>
      <ns0:c r="F38" s="20">
        <ns0:v>108.98</ns0:v>
      </ns0:c>
      <ns0:c r="G38" s="32">
        <ns0:v>100.91</ns0:v>
      </ns0:c>
      <ns0:c r="H38" s="31">
        <ns0:v>108.98</ns0:v>
      </ns0:c>
      <ns0:c r="I38" s="24" t="n">
        <ns0:f aca="false">AVERAGE($E36:$E38)^12/100^11-100</ns0:f>
        <ns0:v>14.616501588559</ns0:v>
      </ns0:c>
      <ns0:c r="J38" s="25"/>
      <ns0:c r="K38" s="25"/>
      <ns0:c r="L38" s="25"/>
      <ns0:c r="M38" s="25"/>
    </ns0:row>
    <ns0:row r="39" customFormat="false" ht="16.4" hidden="false" customHeight="false" outlineLevel="0" collapsed="false">
      <ns0:c r="A39" s="33" t="n">
        <ns0:v>45658</ns0:v>
      </ns0:c>
      <ns0:c r="B39" s="34"/>
      <ns0:c r="C39" s="34"/>
      <ns0:c r="D39" s="34"/>
      <ns0:c r="E39" s="22">
        <ns0:v>100.84</ns0:v>
      </ns0:c>
      <ns0:c r="F39" s="22">
        <ns0:v>108.95</ns0:v>
      </ns0:c>
      <ns0:c r="G39" s="32">
        <ns0:v>100.84</ns0:v>
      </ns0:c>
      <ns0:c r="H39" s="32">
        <ns0:v>108.95</ns0:v>
      </ns0:c>
      <ns0:c r="I39" s="34" t="n">
        <ns0:f aca="false">AVERAGE($E37:$E39)^12/100^11-100</ns0:f>
        <ns0:v>13.8032481613878</ns0:v>
      </ns0:c>
      <ns0:c r="J39" s="3"/>
      <ns0:c r="K39" s="3"/>
      <ns0:c r="L39" s="3"/>
      <ns0:c r="M39" s="3"/>
    </ns0:row>
    <ns0:row r="40" customFormat="false" ht="14.25" hidden="false" customHeight="false" outlineLevel="0" collapsed="false">
      <ns0:c r="A40" s="35" t="n">
        <ns0:v>45689</ns0:v>
      </ns0:c>
      <ns0:c r="B40" s="34"/>
      <ns0:c r="C40" s="34"/>
      <ns0:c r="D40" s="34"/>
      <ns0:c r="E40" s="22">
        <ns0:v>101.34</ns0:v>
      </ns0:c>
      <ns0:c r="F40" s="22">
        <ns0:v>109.83</ns0:v>
      </ns0:c>
      <ns0:c r="G40" s="32">
        <ns0:v>101.34</ns0:v>
      </ns0:c>
      <ns0:c r="H40" s="32">
        <ns0:v>109.83</ns0:v>
      </ns0:c>
      <ns0:c r="I40" s="34" t="n">
        <ns0:f aca="false">AVERAGE($E38:$E40)^12/100^11-100</ns0:f>
        <ns0:v>13.0848004136226</ns0:v>
      </ns0:c>
      <ns0:c r="J40" s="3"/>
      <ns0:c r="K40" s="3"/>
      <ns0:c r="L40" s="3"/>
      <ns0:c r="M40" s="3"/>
    </ns0:row>
    <ns0:row r="41" customFormat="false" ht="15" hidden="false" customHeight="true" outlineLevel="0" collapsed="false">
      <ns0:c r="A41" s="36" t="n">
        <ns0:v>45717</ns0:v>
      </ns0:c>
      <ns0:c r="B41" s="37"/>
      <ns0:c r="C41" s="37"/>
      <ns0:c r="D41" s="37"/>
      <ns0:c r="E41" s="29">
        <ns0:v>100.81</ns0:v>
      </ns0:c>
      <ns0:c r="F41" s="29">
        <ns0:v>110.13</ns0:v>
      </ns0:c>
      <ns0:c r="G41" s="38">
        <ns0:v>100.81</ns0:v>
      </ns0:c>
      <ns0:c r="H41" s="38">
        <ns0:v>110.13</ns0:v>
      </ns0:c>
      <ns0:c r="I41" s="37" t="n">
        <ns0:f aca="false">AVERAGE($E39:$E41)^12/100^11-100</ns0:f>
        <ns0:v>12.6378843790016</ns0:v>
      </ns0:c>
      <ns0:c r="J41" s="3"/>
      <ns0:c r="K41" s="3"/>
      <ns0:c r="L41" s="3"/>
      <ns0:c r="M41" s="3"/>
    </ns0:row>
    <ns0:row r="42" customFormat="false" ht="15" hidden="false" customHeight="true" outlineLevel="0" collapsed="false">
      <ns0:c r="A42" s="39" t="n">
        <ns0:v>45748</ns0:v>
      </ns0:c>
      <ns0:c r="B42" s="40"/>
      <ns0:c r="C42" s="40"/>
      <ns0:c r="D42" s="40"/>
      <ns0:c r="E42" s="41">
        <ns0:v>100.53</ns0:v>
      </ns0:c>
      <ns0:c r="F42" s="41">
        <ns0:v>110.3</ns0:v>
      </ns0:c>
      <ns0:c r="G42" s="42">
        <ns0:v>100.53</ns0:v>
      </ns0:c>
      <ns0:c r="H42" s="42">
        <ns0:v>110.3</ns0:v>
      </ns0:c>
      <ns0:c r="I42" s="40" t="n">
        <ns0:f aca="false">AVERAGE($E40:$E42)^12/100^11-100</ns0:f>
        <ns0:v>11.2627133732496</ns0:v>
      </ns0:c>
      <ns0:c r="J42" s="3"/>
      <ns0:c r="K42" s="3"/>
      <ns0:c r="L42" s="3"/>
      <ns0:c r="M42" s="3"/>
    </ns0:row>
    <ns0:row r="43" customFormat="false" ht="16.4" hidden="false" customHeight="false" outlineLevel="0" collapsed="false">
      <ns0:c r="A43" s="43" t="n">
        <ns0:v>45778</ns0:v>
      </ns0:c>
      <ns0:c r="B43" s="44"/>
      <ns0:c r="C43" s="44"/>
      <ns0:c r="D43" s="44"/>
      <ns0:c r="E43" s="45">
        <ns0:v>99.93</ns0:v>
      </ns0:c>
      <ns0:c r="F43" s="45">
        <ns0:v>109.19</ns0:v>
      </ns0:c>
      <ns0:c r="G43" s="46">
        <ns0:v>99.93</ns0:v>
      </ns0:c>
      <ns0:c r="H43" s="46">
        <ns0:v>109.2</ns0:v>
      </ns0:c>
      <ns0:c r="I43" s="44" t="n">
        <ns0:f aca="false">AVERAGE($E41:$E43)^12/100^11-100</ns0:f>
        <ns0:v>5.19996439209056</ns0:v>
      </ns0:c>
      <ns0:c r="J43" s="3"/>
      <ns0:c r="K43" s="3"/>
      <ns0:c r="L43" s="3"/>
      <ns0:c r="M43" s="3"/>
    </ns0:row>
    <ns0:row r="44" customFormat="false" ht="14.25" hidden="false" customHeight="false" outlineLevel="0" collapsed="false">
      <ns0:c r="A44" s="35" t="n">
        <ns0:v>45809</ns0:v>
      </ns0:c>
      <ns0:c r="B44" s="34"/>
      <ns0:c r="C44" s="34"/>
      <ns0:c r="D44" s="34"/>
      <ns0:c r="E44" s="22">
        <ns0:v>99.96</ns0:v>
      </ns0:c>
      <ns0:c r="F44" s="22">
        <ns0:v>108.95</ns0:v>
      </ns0:c>
      <ns0:c r="G44" s="32">
        <ns0:v>99.96</ns0:v>
      </ns0:c>
      <ns0:c r="H44" s="32">
        <ns0:v>108.96</ns0:v>
      </ns0:c>
      <ns0:c r="I44" s="34" t="n">
        <ns0:f aca="false">AVERAGE($E42:$E44)^12/100^11-100</ns0:f>
        <ns0:v>1.69299655858586</ns0:v>
      </ns0:c>
      <ns0:c r="J44" s="3"/>
      <ns0:c r="K44" s="3"/>
      <ns0:c r="L44" s="3"/>
      <ns0:c r="M44" s="3"/>
    </ns0:row>
    <ns0:row r="45" customFormat="false" ht="16.4" hidden="false" customHeight="false" outlineLevel="0" collapsed="false">
      <ns0:c r="A45" s="33" t="n">
        <ns0:v>45839</ns0:v>
      </ns0:c>
      <ns0:c r="B45" s="34"/>
      <ns0:c r="C45" s="34"/>
      <ns0:c r="D45" s="34"/>
      <ns0:c r="E45" s="22">
        <ns0:v>100.36</ns0:v>
      </ns0:c>
      <ns0:c r="F45" s="22">
        <ns0:v>108.19</ns0:v>
      </ns0:c>
      <ns0:c r="G45" s="32">
        <ns0:v>100.36</ns0:v>
      </ns0:c>
      <ns0:c r="H45" s="32">
        <ns0:v>108.19</ns0:v>
      </ns0:c>
      <ns0:c r="I45" s="34" t="n">
        <ns0:f aca="false">AVERAGE($E43:$E45)^12/100^11-100</ns0:f>
        <ns0:v>1.00459608871815</ns0:v>
      </ns0:c>
      <ns0:c r="J45" s="14"/>
      <ns0:c r="K45" s="14"/>
      <ns0:c r="L45" s="14"/>
      <ns0:c r="M45" s="14"/>
    </ns0:row>
    <ns0:row r="46" customFormat="false" ht="14.25" hidden="false" customHeight="false" outlineLevel="0" collapsed="false">
      <ns0:c r="A46" s="35" t="n">
        <ns0:v>45870</ns0:v>
      </ns0:c>
      <ns0:c r="B46" s="34"/>
      <ns0:c r="C46" s="34"/>
      <ns0:c r="D46" s="34"/>
      <ns0:c r="E46" s="22">
        <ns0:v>99.43</ns0:v>
      </ns0:c>
      <ns0:c r="F46" s="22">
        <ns0:v>107.47</ns0:v>
      </ns0:c>
      <ns0:c r="G46" s="32">
        <ns0:v>99.43</ns0:v>
      </ns0:c>
      <ns0:c r="H46" s="32">
        <ns0:v>107.48</ns0:v>
      </ns0:c>
      <ns0:c r="I46" s="34" t="n">
        <ns0:f aca="false">AVERAGE($E44:$E46)^12/100^11-100</ns0:f>
        <ns0:v>-0.995429374308358</ns0:v>
      </ns0:c>
      <ns0:c r="J46" s="14"/>
      <ns0:c r="K46" s="14"/>
      <ns0:c r="L46" s="14"/>
      <ns0:c r="M46" s="14"/>
    </ns0:row>
    <ns0:row r="47" customFormat="false" ht="16.4" hidden="false" customHeight="false" outlineLevel="0" collapsed="false">
      <ns0:c r="A47" s="33" t="n">
        <ns0:v>45901</ns0:v>
      </ns0:c>
      <ns0:c r="B47" s="34"/>
      <ns0:c r="C47" s="34"/>
      <ns0:c r="D47" s="34"/>
      <ns0:c r="E47" s="22">
        <ns0:v>101</ns0:v>
      </ns0:c>
      <ns0:c r="F47" s="22">
        <ns0:v>107.88</ns0:v>
      </ns0:c>
      <ns0:c r="G47" s="32">
        <ns0:v>101</ns0:v>
      </ns0:c>
      <ns0:c r="H47" s="32">
        <ns0:v>107.88</ns0:v>
      </ns0:c>
      <ns0:c r="I47" s="34" t="n">
        <ns0:f aca="false">AVERAGE($E45:$E47)^12/100^11-100</ns0:f>
        <ns0:v>3.20617145915737</ns0:v>
      </ns0:c>
      <ns0:c r="J47" s="14"/>
      <ns0:c r="K47" s="14"/>
      <ns0:c r="L47" s="14"/>
      <ns0:c r="M47" s="14"/>
    </ns0:row>
    <ns0:row r="48" customFormat="false" ht="18" hidden="false" customHeight="true" outlineLevel="0" collapsed="false">
      <ns0:c r="A48" s="35" t="n">
        <ns0:v>45931</ns0:v>
      </ns0:c>
      <ns0:c r="B48" s="34"/>
      <ns0:c r="C48" s="34"/>
      <ns0:c r="D48" s="34"/>
      <ns0:c r="E48" s="22">
        <ns0:v>100.53</ns0:v>
      </ns0:c>
      <ns0:c r="F48" s="22">
        <ns0:v>107.36</ns0:v>
      </ns0:c>
      <ns0:c r="G48" s="32">
        <ns0:v>100.53</ns0:v>
      </ns0:c>
      <ns0:c r="H48" s="32">
        <ns0:v>107.36</ns0:v>
      </ns0:c>
      <ns0:c r="I48" s="34" t="n">
        <ns0:f aca="false">AVERAGE($E46:$E48)^12/100^11-100</ns0:f>
        <ns0:v>3.90831011312588</ns0:v>
      </ns0:c>
      <ns0:c r="J48" s="14"/>
      <ns0:c r="K48" s="14"/>
      <ns0:c r="L48" s="14"/>
      <ns0:c r="M48" s="14"/>
    </ns0:row>
    <ns0:row r="49" customFormat="false" ht="15" hidden="false" customHeight="true" outlineLevel="0" collapsed="false">
      <ns0:c r="A49" s="36" t="n">
        <ns0:v>45962</ns0:v>
      </ns0:c>
      <ns0:c r="B49" s="37"/>
      <ns0:c r="C49" s="34"/>
      <ns0:c r="D49" s="34"/>
      <ns0:c r="E49" s="29">
        <ns0:v>100.15</ns0:v>
      </ns0:c>
      <ns0:c r="F49" s="29">
        <ns0:v>105.93</ns0:v>
      </ns0:c>
      <ns0:c r="G49" s="38">
        <ns0:v>100.15</ns0:v>
      </ns0:c>
      <ns0:c r="H49" s="38">
        <ns0:v>105.93</ns0:v>
      </ns0:c>
      <ns0:c r="I49" s="37" t="n">
        <ns0:f aca="false">AVERAGE($E47:$E49)^12/100^11-100</ns0:f>
        <ns0:v>6.93088867179823</ns0:v>
      </ns0:c>
      <ns0:c r="J49" s="14"/>
      <ns0:c r="K49" s="14"/>
      <ns0:c r="L49" s="14"/>
      <ns0:c r="M49" s="14"/>
    </ns0:row>
    <ns0:row r="50" customFormat="false" ht="15" hidden="false" customHeight="true" outlineLevel="0" collapsed="false">
      <ns0:c r="A50" s="39" t="n">
        <ns0:v>45992</ns0:v>
      </ns0:c>
      <ns0:c r="B50" s="40"/>
      <ns0:c r="C50" s="34"/>
      <ns0:c r="D50" s="34"/>
      <ns0:c r="E50" s="41">
        <ns0:v>100.29</ns0:v>
      </ns0:c>
      <ns0:c r="F50" s="41">
        <ns0:v>105.28</ns0:v>
      </ns0:c>
      <ns0:c r="G50" s="42">
        <ns0:v>100.29</ns0:v>
      </ns0:c>
      <ns0:c r="H50" s="42">
        <ns0:v>105.28</ns0:v>
      </ns0:c>
      <ns0:c r="I50" s="40" t="n">
        <ns0:f aca="false">AVERAGE($E48:$E50)^12/100^11-100</ns0:f>
        <ns0:v>3.94974843103184</ns0:v>
      </ns0:c>
      <ns0:c r="J50" s="14"/>
      <ns0:c r="K50" s="14"/>
      <ns0:c r="L50" s="14"/>
      <ns0:c r="M50" s="14"/>
    </ns0:row>
    <ns0:row r="51" customFormat="false" ht="15" hidden="false" customHeight="true" outlineLevel="0" collapsed="false">
      <ns0:c r="A51" s="43" t="n">
        <ns0:v>46023</ns0:v>
      </ns0:c>
      <ns0:c r="B51" s="47"/>
      <ns0:c r="C51" s="34" t="n">
        <ns0:f aca="false">E51-100</ns0:f>
        <ns0:v>1.57</ns0:v>
      </ns0:c>
      <ns0:c r="D51" s="34" t="n">
        <ns0:f aca="false">F51-100</ns0:f>
        <ns0:v>6.04</ns0:v>
      </ns0:c>
      <ns0:c r="E51" s="44">
        <ns0:v>101.57</ns0:v>
      </ns0:c>
      <ns0:c r="F51" s="44">
        <ns0:f aca="false">ROUND(PRODUCT(E40:E51)/100^11,2)</ns0:f>
        <ns0:v>106.04</ns0:v>
      </ns0:c>
      <ns0:c r="G51" s="48">
        <ns0:v>101.6</ns0:v>
      </ns0:c>
      <ns0:c r="H51" s="48">
        <ns0:v>106.07</ns0:v>
      </ns0:c>
      <ns0:c r="I51" s="40" t="n">
        <ns0:f aca="false">AVERAGE($E49:$E51)^12/100^11-100</ns0:f>
        <ns0:v>8.4722085025155</ns0:v>
      </ns0:c>
    </ns0:row>
    <ns0:row r="52" customFormat="false" ht="15" hidden="false" customHeight="true" outlineLevel="0" collapsed="false">
      <ns0:c r="A52" s="35" t="n">
        <ns0:v>46054</ns0:v>
      </ns0:c>
      <ns0:c r="B52" s="26"/>
      <ns0:c r="C52" s="34" t="n">
        <ns0:f aca="false">E52-100</ns0:f>
        <ns0:v>1.1</ns0:v>
      </ns0:c>
      <ns0:c r="D52" s="34" t="n">
        <ns0:f aca="false">F52-100</ns0:f>
        <ns0:v>5.79</ns0:v>
      </ns0:c>
      <ns0:c r="E52" s="34">
        <ns0:v>101.1</ns0:v>
      </ns0:c>
      <ns0:c r="F52" s="34">
        <ns0:f aca="false">ROUND(PRODUCT(E41:E52)/100^11,2)</ns0:f>
        <ns0:v>105.79</ns0:v>
      </ns0:c>
      <ns0:c r="G52" s="49">
        <ns0:v>101.1</ns0:v>
      </ns0:c>
      <ns0:c r="H52" s="49">
        <ns0:v>105.82</ns0:v>
      </ns0:c>
      <ns0:c r="I52" s="40" t="n">
        <ns0:f aca="false">AVERAGE($E50:$E52)^12/100^11-100</ns0:f>
        <ns0:v>12.6378843790016</ns0:v>
      </ns0:c>
    </ns0:row>
    <ns0:row r="53" customFormat="false" ht="15" hidden="false" customHeight="true" outlineLevel="0" collapsed="false">
      <ns0:c r="A53" s="33" t="n">
        <ns0:v>46082</ns0:v>
      </ns0:c>
      <ns0:c r="B53" s="26"/>
      <ns0:c r="C53" s="34" t="n">
        <ns0:f aca="false">E53-100</ns0:f>
        <ns0:v>0.54</ns0:v>
      </ns0:c>
      <ns0:c r="D53" s="34" t="n">
        <ns0:f aca="false">F53-100</ns0:f>
        <ns0:v>5.51</ns0:v>
      </ns0:c>
      <ns0:c r="E53" s="50">
        <ns0:v>100.54</ns0:v>
      </ns0:c>
      <ns0:c r="F53" s="34">
        <ns0:f aca="false">ROUND(PRODUCT(E42:E53)/100^11,2)</ns0:f>
        <ns0:v>105.51</ns0:v>
      </ns0:c>
      <ns0:c r="G53" s="49">
        <ns0:v>100.54</ns0:v>
      </ns0:c>
      <ns0:c r="H53" s="49">
        <ns0:v>105.54</ns0:v>
      </ns0:c>
      <ns0:c r="I53" s="40" t="n">
        <ns0:f aca="false">AVERAGE($E51:$E53)^12/100^11-100</ns0:f>
        <ns0:v>13.7582228911073</ns0:v>
      </ns0:c>
    </ns0:row>
    <ns0:row r="54" customFormat="false" ht="15" hidden="false" customHeight="true" outlineLevel="0" collapsed="false">
      <ns0:c r="A54" s="35" t="n">
        <ns0:v>46113</ns0:v>
      </ns0:c>
      <ns0:c r="B54" s="26"/>
      <ns0:c r="C54" s="34" t="n">
        <ns0:f aca="false">E54-100</ns0:f>
        <ns0:v>-0.28</ns0:v>
      </ns0:c>
      <ns0:c r="D54" s="34" t="n">
        <ns0:f aca="false">F54-100</ns0:f>
        <ns0:v>4.66</ns0:v>
      </ns0:c>
      <ns0:c r="E54" s="34">
        <ns0:v>99.72</ns0:v>
      </ns0:c>
      <ns0:c r="F54" s="34">
        <ns0:f aca="false">ROUND(PRODUCT(E43:E54)/100^11,2)</ns0:f>
        <ns0:v>104.66</ns0:v>
      </ns0:c>
      <ns0:c r="G54" s="49">
        <ns0:v>99.72</ns0:v>
      </ns0:c>
      <ns0:c r="H54" s="49">
        <ns0:v>104.69</ns0:v>
      </ns0:c>
      <ns0:c r="I54" s="40" t="n">
        <ns0:f aca="false">AVERAGE($E52:$E54)^12/100^11-100</ns0:f>
        <ns0:v>5.57770802282748</ns0:v>
      </ns0:c>
    </ns0:row>
    <ns0:row r="55" customFormat="false" ht="15" hidden="false" customHeight="true" outlineLevel="0" collapsed="false">
      <ns0:c r="A55" s="33" t="n">
        <ns0:v>46143</ns0:v>
      </ns0:c>
      <ns0:c r="B55" s="51"/>
      <ns0:c r="C55" s="34" t="n">
        <ns0:f aca="false">E55-100</ns0:f>
        <ns0:v>0.09</ns0:v>
      </ns0:c>
      <ns0:c r="D55" s="34" t="n">
        <ns0:f aca="false">F55-100</ns0:f>
        <ns0:v>4.82</ns0:v>
      </ns0:c>
      <ns0:c r="E55" s="34">
        <ns0:v>100.09</ns0:v>
      </ns0:c>
      <ns0:c r="F55" s="34">
        <ns0:f aca="false">ROUND(PRODUCT(E44:E55)/100^11,2)</ns0:f>
        <ns0:v>104.82</ns0:v>
      </ns0:c>
      <ns0:c r="G55" s="49">
        <ns0:v>100.09</ns0:v>
      </ns0:c>
      <ns0:c r="H55" s="49">
        <ns0:v>104.85</ns0:v>
      </ns0:c>
      <ns0:c r="I55" s="40" t="n">
        <ns0:f aca="false">AVERAGE($E53:$E55)^12/100^11-100</ns0:f>
        <ns0:v>1.4090183603949</ns0:v>
      </ns0:c>
      <ns0:c r="J55" s="52"/>
      <ns0:c r="K55" s="52"/>
      <ns0:c r="L55" s="52"/>
      <ns0:c r="M55" s="52"/>
    </ns0:row>
    <ns0:row r="56" customFormat="false" ht="15" hidden="false" customHeight="true" outlineLevel="0" collapsed="false">
      <ns0:c r="A56" s="35" t="n">
        <ns0:v>46174</ns0:v>
      </ns0:c>
      <ns0:c r="B56" s="26"/>
      <ns0:c r="C56" s="34" t="n">
        <ns0:f aca="false">E56-100</ns0:f>
        <ns0:v>1.06</ns0:v>
      </ns0:c>
      <ns0:c r="D56" s="34" t="n">
        <ns0:f aca="false">F56-100</ns0:f>
        <ns0:v>5.98</ns0:v>
      </ns0:c>
      <ns0:c r="E56" s="34">
        <ns0:v>101.06</ns0:v>
      </ns0:c>
      <ns0:c r="F56" s="34">
        <ns0:f aca="false">ROUND(PRODUCT(E45:E56)/100^11,2)</ns0:f>
        <ns0:v>105.98</ns0:v>
      </ns0:c>
      <ns0:c r="G56" s="49">
        <ns0:v>101.06</ns0:v>
      </ns0:c>
      <ns0:c r="H56" s="49">
        <ns0:v>106.01</ns0:v>
      </ns0:c>
      <ns0:c r="I56" s="40" t="n">
        <ns0:f aca="false">AVERAGE($E54:$E56)^12/100^11-100</ns0:f>
        <ns0:v>3.53604607534096</ns0:v>
      </ns0:c>
    </ns0:row>
    <ns0:row r="57" customFormat="false" ht="15" hidden="false" customHeight="true" outlineLevel="0" collapsed="false">
      <ns0:c r="A57" s="33" t="n">
        <ns0:v>46204</ns0:v>
      </ns0:c>
      <ns0:c r="B57" s="53"/>
      <ns0:c r="C57" s="34" t="n">
        <ns0:f aca="false">E57-100</ns0:f>
        <ns0:v>0.82</ns0:v>
      </ns0:c>
      <ns0:c r="D57" s="34" t="n">
        <ns0:f aca="false">F57-100</ns0:f>
        <ns0:v>6.46</ns0:v>
      </ns0:c>
      <ns0:c r="E57" s="34">
        <ns0:v>100.82</ns0:v>
      </ns0:c>
      <ns0:c r="F57" s="34">
        <ns0:f aca="false">ROUND(PRODUCT(E46:E57)/100^11,2)</ns0:f>
        <ns0:v>106.46</ns0:v>
      </ns0:c>
      <ns0:c r="G57" s="49">
        <ns0:v>101.4</ns0:v>
      </ns0:c>
      <ns0:c r="H57" s="49">
        <ns0:v>107.11</ns0:v>
      </ns0:c>
      <ns0:c r="I57" s="40" t="n">
        <ns0:f aca="false">AVERAGE($E55:$E57)^12/100^11-100</ns0:f>
        <ns0:v>10.6906226923438</ns0:v>
      </ns0:c>
    </ns0:row>
    <ns0:row r="58" customFormat="false" ht="15" hidden="false" customHeight="true" outlineLevel="0" collapsed="false">
      <ns0:c r="A58" s="35" t="n">
        <ns0:v>46235</ns0:v>
      </ns0:c>
      <ns0:c r="B58" s="53"/>
      <ns0:c r="C58" s="53"/>
      <ns0:c r="D58" s="53"/>
      <ns0:c r="E58" s="50">
        <ns0:v>100.12</ns0:v>
      </ns0:c>
      <ns0:c r="F58" s="34">
        <ns0:f aca="false">ROUND(PRODUCT(E47:E58)/100^11,2)</ns0:f>
        <ns0:v>107.2</ns0:v>
      </ns0:c>
      <ns0:c r="G58" s="49">
        <ns0:v>100</ns0:v>
      </ns0:c>
      <ns0:c r="H58" s="49">
        <ns0:v>107.72</ns0:v>
      </ns0:c>
      <ns0:c r="I58" s="40" t="n">
        <ns0:f aca="false">AVERAGE($E56:$E58)^12/100^11-100</ns0:f>
        <ns0:v>10.2961408608195</ns0:v>
      </ns0:c>
    </ns0:row>
    <ns0:row r="59" customFormat="false" ht="15" hidden="false" customHeight="true" outlineLevel="0" collapsed="false">
      <ns0:c r="A59" s="33" t="n">
        <ns0:v>46266</ns0:v>
      </ns0:c>
      <ns0:c r="B59" s="53"/>
      <ns0:c r="C59" s="53"/>
      <ns0:c r="D59" s="53"/>
      <ns0:c r="E59" s="50">
        <ns0:v>100.5</ns0:v>
      </ns0:c>
      <ns0:c r="F59" s="34">
        <ns0:f aca="false">ROUND(PRODUCT(E48:E59)/100^11,2)</ns0:f>
        <ns0:v>106.67</ns0:v>
      </ns0:c>
      <ns0:c r="G59" s="49">
        <ns0:v>100.5</ns0:v>
      </ns0:c>
      <ns0:c r="H59" s="49">
        <ns0:v>107.19</ns0:v>
      </ns0:c>
      <ns0:c r="I59" s="40" t="n">
        <ns0:f aca="false">AVERAGE($E57:$E59)^12/100^11-100</ns0:f>
        <ns0:v>7.87040260177953</ns0:v>
      </ns0:c>
    </ns0:row>
    <ns0:row r="60" customFormat="false" ht="15" hidden="false" customHeight="true" outlineLevel="0" collapsed="false">
      <ns0:c r="A60" s="35" t="n">
        <ns0:v>46296</ns0:v>
      </ns0:c>
      <ns0:c r="B60" s="26"/>
      <ns0:c r="C60" s="26"/>
      <ns0:c r="D60" s="26"/>
      <ns0:c r="E60" s="50">
        <ns0:v>101.37</ns0:v>
      </ns0:c>
      <ns0:c r="F60" s="34">
        <ns0:f aca="false">ROUND(PRODUCT(E49:E60)/100^11,2)</ns0:f>
        <ns0:v>107.56</ns0:v>
      </ns0:c>
      <ns0:c r="G60" s="49">
        <ns0:v>101.3</ns0:v>
      </ns0:c>
      <ns0:c r="H60" s="49">
        <ns0:v>108.01</ns0:v>
      </ns0:c>
      <ns0:c r="I60" s="40" t="n">
        <ns0:f aca="false">AVERAGE($E58:$E60)^12/100^11-100</ns0:f>
        <ns0:v>7.44241677219257</ns0:v>
      </ns0:c>
    </ns0:row>
    <ns0:row r="61" customFormat="false" ht="15" hidden="false" customHeight="true" outlineLevel="0" collapsed="false">
      <ns0:c r="A61" s="33" t="n">
        <ns0:v>46327</ns0:v>
      </ns0:c>
      <ns0:c r="B61" s="26"/>
      <ns0:c r="C61" s="26"/>
      <ns0:c r="D61" s="26"/>
      <ns0:c r="E61" s="50">
        <ns0:v>100.9</ns0:v>
      </ns0:c>
      <ns0:c r="F61" s="34">
        <ns0:f aca="false">ROUND(PRODUCT(E50:E61)/100^11,2)</ns0:f>
        <ns0:v>108.37</ns0:v>
      </ns0:c>
      <ns0:c r="G61" s="49">
        <ns0:v>100.45</ns0:v>
      </ns0:c>
      <ns0:c r="H61" s="49">
        <ns0:v>108.33</ns0:v>
      </ns0:c>
      <ns0:c r="I61" s="40" t="n">
        <ns0:f aca="false">AVERAGE($E59:$E61)^12/100^11-100</ns0:f>
        <ns0:v>9.38068976709832</ns0:v>
      </ns0:c>
    </ns0:row>
    <ns0:row r="62" customFormat="false" ht="15" hidden="false" customHeight="true" outlineLevel="0" collapsed="false">
      <ns0:c r="A62" s="35" t="n">
        <ns0:v>46357</ns0:v>
      </ns0:c>
      <ns0:c r="B62" s="26"/>
      <ns0:c r="C62" s="26"/>
      <ns0:c r="D62" s="26"/>
      <ns0:c r="E62" s="50">
        <ns0:v>100.96</ns0:v>
      </ns0:c>
      <ns0:c r="F62" s="34">
        <ns0:f aca="false">ROUND(PRODUCT(E51:E62)/100^11,2)</ns0:f>
        <ns0:v>109.09</ns0:v>
      </ns0:c>
      <ns0:c r="G62" s="49">
        <ns0:v>100.5</ns0:v>
      </ns0:c>
      <ns0:c r="H62" s="49">
        <ns0:v>108.56</ns0:v>
      </ns0:c>
      <ns0:c r="I62" s="40" t="n">
        <ns0:f aca="false">AVERAGE($E60:$E62)^12/100^11-100</ns0:f>
        <ns0:v>9.38068976709832</ns0:v>
      </ns0:c>
    </ns0:row>
    <ns0:row r="63" customFormat="false" ht="16.4" hidden="false" customHeight="false" outlineLevel="0" collapsed="false">
      <ns0:c r="A63" s="33" t="n">
        <ns0:v>46388</ns0:v>
      </ns0:c>
      <ns0:c r="E63" s="25">
        <ns0:v>100.8</ns0:v>
      </ns0:c>
      <ns0:c r="F63" s="34">
        <ns0:f aca="false">ROUND(PRODUCT(E52:E63)/100^11,2)</ns0:f>
        <ns0:v>108.26</ns0:v>
      </ns0:c>
      <ns0:c r="G63" s="54">
        <ns0:v>100.9</ns0:v>
      </ns0:c>
      <ns0:c r="H63" s="54">
        <ns0:v>107.81</ns0:v>
      </ns0:c>
      <ns0:c r="I63" s="25"/>
    </ns0:row>
    <ns0:row r="64" customFormat="false" ht="14.25" hidden="false" customHeight="false" outlineLevel="0" collapsed="false">
      <ns0:c r="A64" s="35" t="n">
        <ns0:v>46419</ns0:v>
      </ns0:c>
      <ns0:c r="E64" s="25">
        <ns0:v>100.63</ns0:v>
      </ns0:c>
      <ns0:c r="F64" s="34">
        <ns0:f aca="false">ROUND(PRODUCT(E53:E64)/100^11,2)</ns0:f>
        <ns0:v>107.76</ns0:v>
      </ns0:c>
      <ns0:c r="G64" s="54">
        <ns0:v>100.65</ns0:v>
      </ns0:c>
      <ns0:c r="H64" s="54">
        <ns0:v>107.33</ns0:v>
      </ns0:c>
      <ns0:c r="I64" s="25"/>
    </ns0:row>
    <ns0:row r="65" customFormat="false" ht="16.4" hidden="false" customHeight="false" outlineLevel="0" collapsed="false">
      <ns0:c r="A65" s="33" t="n">
        <ns0:v>46447</ns0:v>
      </ns0:c>
      <ns0:c r="E65" s="25">
        <ns0:v>100.4</ns0:v>
      </ns0:c>
      <ns0:c r="F65" s="34">
        <ns0:f aca="false">ROUND(PRODUCT(E54:E65)/100^11,2)</ns0:f>
        <ns0:v>107.61</ns0:v>
      </ns0:c>
      <ns0:c r="G65" s="54">
        <ns0:v>100.5</ns0:v>
      </ns0:c>
      <ns0:c r="H65" s="54">
        <ns0:v>107.29</ns0:v>
      </ns0:c>
      <ns0:c r="I65" s="25"/>
    </ns0:row>
    <ns0:row r="66" customFormat="false" ht="14.25" hidden="false" customHeight="false" outlineLevel="0" collapsed="false">
      <ns0:c r="A66" s="35" t="n">
        <ns0:v>46478</ns0:v>
      </ns0:c>
      <ns0:c r="E66" s="25">
        <ns0:v>100.56</ns0:v>
      </ns0:c>
      <ns0:c r="F66" s="34">
        <ns0:f aca="false">ROUND(PRODUCT(E55:E66)/100^11,2)</ns0:f>
        <ns0:v>108.52</ns0:v>
      </ns0:c>
      <ns0:c r="G66" s="54">
        <ns0:v>100.45</ns0:v>
      </ns0:c>
      <ns0:c r="H66" s="54">
        <ns0:v>108.07</ns0:v>
      </ns0:c>
      <ns0:c r="I66" s="25"/>
    </ns0:row>
    <ns0:row r="67" customFormat="false" ht="16.4" hidden="false" customHeight="false" outlineLevel="0" collapsed="false">
      <ns0:c r="A67" s="33" t="n">
        <ns0:v>46508</ns0:v>
      </ns0:c>
      <ns0:c r="E67" s="25">
        <ns0:v>100.19</ns0:v>
      </ns0:c>
      <ns0:c r="F67" s="34">
        <ns0:f aca="false">ROUND(PRODUCT(E56:E67)/100^11,2)</ns0:f>
        <ns0:v>108.63</ns0:v>
      </ns0:c>
      <ns0:c r="G67" s="54">
        <ns0:v>100.2</ns0:v>
      </ns0:c>
      <ns0:c r="H67" s="54">
        <ns0:v>108.19</ns0:v>
      </ns0:c>
      <ns0:c r="I67" s="25"/>
    </ns0:row>
    <ns0:row r="68" customFormat="false" ht="14.25" hidden="false" customHeight="false" outlineLevel="0" collapsed="false">
      <ns0:c r="A68" s="35" t="n">
        <ns0:v>46539</ns0:v>
      </ns0:c>
      <ns0:c r="E68" s="25">
        <ns0:v>100.1</ns0:v>
      </ns0:c>
      <ns0:c r="F68" s="34">
        <ns0:f aca="false">ROUND(PRODUCT(E57:E68)/100^11,2)</ns0:f>
        <ns0:v>107.59</ns0:v>
      </ns0:c>
      <ns0:c r="G68" s="54">
        <ns0:v>100.15</ns0:v>
      </ns0:c>
      <ns0:c r="H68" s="54">
        <ns0:v>107.22</ns0:v>
      </ns0:c>
      <ns0:c r="I68" s="25"/>
    </ns0:row>
    <ns0:row r="69" customFormat="false" ht="16.4" hidden="false" customHeight="false" outlineLevel="0" collapsed="false">
      <ns0:c r="A69" s="33" t="n">
        <ns0:v>46569</ns0:v>
      </ns0:c>
      <ns0:c r="E69" s="25">
        <ns0:v>100.67</ns0:v>
      </ns0:c>
      <ns0:c r="F69" s="34">
        <ns0:f aca="false">ROUND(PRODUCT(E58:E69)/100^11,2)</ns0:f>
        <ns0:v>107.43</ns0:v>
      </ns0:c>
      <ns0:c r="G69" s="54">
        <ns0:v>100.05</ns0:v>
      </ns0:c>
      <ns0:c r="H69" s="54">
        <ns0:v>105.79</ns0:v>
      </ns0:c>
      <ns0:c r="I69" s="25"/>
    </ns0:row>
    <ns0:row r="70" customFormat="false" ht="14.25" hidden="false" customHeight="false" outlineLevel="0" collapsed="false">
      <ns0:c r="A70" s="35" t="n">
        <ns0:v>46600</ns0:v>
      </ns0:c>
      <ns0:c r="E70" s="25">
        <ns0:v>99.81</ns0:v>
      </ns0:c>
      <ns0:c r="F70" s="34">
        <ns0:f aca="false">ROUND(PRODUCT(E59:E70)/100^11,2)</ns0:f>
        <ns0:v>107.1</ns0:v>
      </ns0:c>
      <ns0:c r="G70" s="54">
        <ns0:v>99.95</ns0:v>
      </ns0:c>
      <ns0:c r="H70" s="54">
        <ns0:v>105.74</ns0:v>
      </ns0:c>
      <ns0:c r="I70" s="25"/>
    </ns0:row>
    <ns0:row r="71" customFormat="false" ht="16.4" hidden="false" customHeight="false" outlineLevel="0" collapsed="false">
      <ns0:c r="A71" s="33" t="n">
        <ns0:v>46631</ns0:v>
      </ns0:c>
      <ns0:c r="E71" s="25">
        <ns0:v>100.16</ns0:v>
      </ns0:c>
      <ns0:c r="F71" s="34">
        <ns0:f aca="false">ROUND(PRODUCT(E60:E71)/100^11,2)</ns0:f>
        <ns0:v>106.74</ns0:v>
      </ns0:c>
      <ns0:c r="G71" s="54">
        <ns0:v>100.45</ns0:v>
      </ns0:c>
      <ns0:c r="H71" s="54">
        <ns0:v>105.69</ns0:v>
      </ns0:c>
      <ns0:c r="I71" s="25"/>
    </ns0:row>
    <ns0:row r="72" customFormat="false" ht="14.25" hidden="false" customHeight="false" outlineLevel="0" collapsed="false">
      <ns0:c r="A72" s="35" t="n">
        <ns0:v>46661</ns0:v>
      </ns0:c>
      <ns0:c r="E72" s="25">
        <ns0:v>100.33</ns0:v>
      </ns0:c>
      <ns0:c r="F72" s="34">
        <ns0:f aca="false">ROUND(PRODUCT(E61:E72)/100^11,2)</ns0:f>
        <ns0:v>105.64</ns0:v>
      </ns0:c>
      <ns0:c r="G72" s="54">
        <ns0:v>100.45</ns0:v>
      </ns0:c>
      <ns0:c r="H72" s="54">
        <ns0:v>104.8</ns0:v>
      </ns0:c>
      <ns0:c r="I72" s="25"/>
    </ns0:row>
    <ns0:row r="73" customFormat="false" ht="16.4" hidden="false" customHeight="false" outlineLevel="0" collapsed="false">
      <ns0:c r="A73" s="33" t="n">
        <ns0:v>46692</ns0:v>
      </ns0:c>
      <ns0:c r="E73" s="25">
        <ns0:v>100.32</ns0:v>
      </ns0:c>
      <ns0:c r="F73" s="34">
        <ns0:f aca="false">ROUND(PRODUCT(E62:E73)/100^11,2)</ns0:f>
        <ns0:v>105.04</ns0:v>
      </ns0:c>
      <ns0:c r="G73" s="54">
        <ns0:v>100.2</ns0:v>
      </ns0:c>
      <ns0:c r="H73" s="54">
        <ns0:v>104.54</ns0:v>
      </ns0:c>
      <ns0:c r="I73" s="25"/>
    </ns0:row>
    <ns0:row r="74" customFormat="false" ht="14.25" hidden="false" customHeight="false" outlineLevel="0" collapsed="false">
      <ns0:c r="A74" s="35" t="n">
        <ns0:v>46722</ns0:v>
      </ns0:c>
      <ns0:c r="E74" s="25">
        <ns0:v>100.34</ns0:v>
      </ns0:c>
      <ns0:c r="F74" s="34">
        <ns0:f aca="false">ROUND(PRODUCT(E63:E74)/100^11,2)</ns0:f>
        <ns0:v>104.39</ns0:v>
      </ns0:c>
      <ns0:c r="G74" s="54">
        <ns0:v>100</ns0:v>
      </ns0:c>
      <ns0:c r="H74" s="54">
        <ns0:v>104.02</ns0:v>
      </ns0:c>
      <ns0:c r="I74" s="25"/>
    </ns0:row>
    <ns0:row r="75" customFormat="false" ht="14.25" hidden="false" customHeight="false" outlineLevel="0" collapsed="false">
      <ns0:c r="A75" s="55"/>
      <ns0:c r="E75" s="56"/>
      <ns0:c r="F75" s="25"/>
      <ns0:c r="G75" s="54"/>
      <ns0:c r="H75" s="54"/>
      <ns0:c r="I75" s="25"/>
    </ns0:row>
    <ns0:row r="76" customFormat="false" ht="14.25" hidden="false" customHeight="false" outlineLevel="0" collapsed="false">
      <ns0:c r="A76" s="55"/>
      <ns0:c r="E76" s="56"/>
      <ns0:c r="F76" s="25"/>
      <ns0:c r="G76" s="54"/>
      <ns0:c r="H76" s="54"/>
      <ns0:c r="I76" s="25"/>
    </ns0:row>
    <ns0:row r="77" customFormat="false" ht="14.25" hidden="false" customHeight="false" outlineLevel="0" collapsed="false">
      <ns0:c r="A77" s="55"/>
      <ns0:c r="E77" s="56"/>
      <ns0:c r="F77" s="25"/>
      <ns0:c r="G77" s="54"/>
      <ns0:c r="H77" s="54"/>
      <ns0:c r="I77" s="25"/>
    </ns0:row>
    <ns0:row r="78" customFormat="false" ht="14.25" hidden="false" customHeight="false" outlineLevel="0" collapsed="false">
      <ns0:c r="A78" s="55"/>
      <ns0:c r="E78" s="56"/>
      <ns0:c r="F78" s="25"/>
      <ns0:c r="G78" s="54"/>
      <ns0:c r="H78" s="54"/>
      <ns0:c r="I78" s="25"/>
    </ns0:row>
    <ns0:row r="79" customFormat="false" ht="14.25" hidden="false" customHeight="false" outlineLevel="0" collapsed="false">
      <ns0:c r="A79" s="55"/>
      <ns0:c r="E79" s="56"/>
      <ns0:c r="F79" s="25"/>
      <ns0:c r="G79" s="54"/>
      <ns0:c r="H79" s="54"/>
      <ns0:c r="I79" s="25"/>
    </ns0:row>
    <ns0:row r="81" customFormat="false" ht="14.25" hidden="false" customHeight="false" outlineLevel="0" collapsed="false">
      <ns0:c r="G81" s="14"/>
      <ns0:c r="H81" s="14"/>
    </ns0:row>
    <ns0:row r="82" customFormat="false" ht="14.25" hidden="false" customHeight="false" outlineLevel="0" collapsed="false">
      <ns0:c r="G82" s="14"/>
      <ns0:c r="H82" s="14"/>
    </ns0:row>
  </ns0:sheetData>
  <ns0:conditionalFormatting sqref="J23:M24">
    <ns0:cfRule type="colorScale" priority="2">
      <ns0:colorScale>
        <ns0:cfvo type="min" val="0"/>
        <ns0:cfvo type="percentile" val="50"/>
        <ns0:cfvo type="max" val="0"/>
        <ns0:color rgb="FF63BE7B"/>
        <ns0:color rgb="FFFCFCFF"/>
        <ns0:color rgb="FFF8696B"/>
      </ns0:colorScale>
    </ns0:cfRule>
  </ns0:conditionalFormatting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00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2" topLeftCell="A38" activePane="bottomLeft" state="frozen"/>
      <selection pane="topLeft" activeCell="A1" activeCellId="0" sqref="A1"/>
      <selection pane="bottomLeft" activeCell="E46" activeCellId="0" sqref="E4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4.1"/>
    <col collapsed="false" customWidth="true" hidden="true" outlineLevel="0" max="2" min="2" style="2" width="11"/>
    <col collapsed="false" customWidth="true" hidden="false" outlineLevel="0" max="4" min="3" style="2" width="11"/>
    <col collapsed="false" customWidth="true" hidden="false" outlineLevel="0" max="6" min="5" style="3" width="11.1"/>
    <col collapsed="false" customWidth="true" hidden="true" outlineLevel="0" max="8" min="7" style="2" width="13.6"/>
    <col collapsed="false" customWidth="true" hidden="true" outlineLevel="0" max="9" min="9" style="2" width="6.7"/>
    <col collapsed="false" customWidth="true" hidden="false" outlineLevel="0" max="10" min="10" style="3" width="10.9"/>
    <col collapsed="false" customWidth="true" hidden="false" outlineLevel="0" max="11" min="11" style="3" width="12.59"/>
    <col collapsed="false" customWidth="true" hidden="false" outlineLevel="0" max="12" min="12" style="4" width="10.9"/>
    <col collapsed="false" customWidth="true" hidden="false" outlineLevel="0" max="13" min="13" style="4" width="8.4"/>
    <col collapsed="false" customWidth="true" hidden="false" outlineLevel="0" max="15" min="14" style="4" width="12.9"/>
    <col collapsed="false" customWidth="true" hidden="false" outlineLevel="0" max="16" min="16" style="4" width="11.29"/>
    <col collapsed="false" customWidth="true" hidden="false" outlineLevel="0" max="17" min="17" style="4" width="10.9"/>
    <col collapsed="false" customWidth="true" hidden="false" outlineLevel="0" max="18" min="18" style="4" width="13.3"/>
    <col collapsed="false" customWidth="true" hidden="false" outlineLevel="0" max="19" min="19" style="57" width="5.9"/>
    <col collapsed="false" customWidth="true" hidden="false" outlineLevel="0" max="20" min="20" style="57" width="14.6"/>
    <col collapsed="false" customWidth="true" hidden="false" outlineLevel="0" max="21" min="21" style="57" width="11.4"/>
    <col collapsed="false" customWidth="true" hidden="false" outlineLevel="0" max="22" min="22" style="57" width="8.29"/>
    <col collapsed="false" customWidth="true" hidden="false" outlineLevel="0" max="23" min="23" style="57" width="11.7"/>
    <col collapsed="false" customWidth="true" hidden="false" outlineLevel="0" max="24" min="24" style="57" width="17.6"/>
    <col collapsed="false" customWidth="true" hidden="false" outlineLevel="0" max="25" min="25" style="57" width="14"/>
    <col collapsed="false" customWidth="true" hidden="false" outlineLevel="0" max="26" min="26" style="57" width="19.9"/>
    <col collapsed="false" customWidth="true" hidden="false" outlineLevel="0" max="27" min="27" style="57" width="18.29"/>
    <col collapsed="false" customWidth="true" hidden="false" outlineLevel="0" max="28" min="28" style="57" width="11.6"/>
    <col collapsed="false" customWidth="true" hidden="false" outlineLevel="0" max="29" min="29" style="57" width="8.29"/>
    <col collapsed="false" customWidth="true" hidden="false" outlineLevel="0" max="30" min="30" style="57" width="7.29"/>
    <col collapsed="false" customWidth="true" hidden="false" outlineLevel="0" max="31" min="31" style="57" width="14.7"/>
    <col collapsed="false" customWidth="true" hidden="false" outlineLevel="0" max="32" min="32" style="57" width="8.9"/>
    <col collapsed="false" customWidth="true" hidden="false" outlineLevel="0" max="33" min="33" style="57" width="8"/>
    <col collapsed="false" customWidth="true" hidden="false" outlineLevel="0" max="34" min="34" style="57" width="7.29"/>
    <col collapsed="false" customWidth="true" hidden="false" outlineLevel="0" max="54" min="35" style="4" width="8.4"/>
    <col collapsed="false" customWidth="true" hidden="false" outlineLevel="0" max="55" min="55" style="4" width="6.7"/>
    <col collapsed="false" customWidth="true" hidden="false" outlineLevel="0" max="56" min="56" style="4" width="14.1"/>
    <col collapsed="false" customWidth="true" hidden="false" outlineLevel="0" max="57" min="57" style="0" width="13"/>
    <col collapsed="false" customWidth="true" hidden="false" outlineLevel="0" max="58" min="58" style="0" width="8"/>
    <col collapsed="false" customWidth="true" hidden="false" outlineLevel="0" max="59" min="59" style="0" width="9.7"/>
    <col collapsed="false" customWidth="true" hidden="false" outlineLevel="0" max="60" min="60" style="0" width="11.1"/>
    <col collapsed="false" customWidth="true" hidden="false" outlineLevel="0" max="62" min="61" style="0" width="7"/>
    <col collapsed="false" customWidth="true" hidden="false" outlineLevel="0" max="63" min="63" style="0" width="10.6"/>
    <col collapsed="false" customWidth="true" hidden="false" outlineLevel="0" max="64" min="64" style="0" width="11.7"/>
    <col collapsed="false" customWidth="true" hidden="false" outlineLevel="0" max="65" min="65" style="0" width="16.4"/>
    <col collapsed="false" customWidth="true" hidden="false" outlineLevel="0" max="66" min="66" style="0" width="11.1"/>
    <col collapsed="false" customWidth="true" hidden="false" outlineLevel="0" max="67" min="67" style="1" width="11.1"/>
    <col collapsed="false" customWidth="true" hidden="false" outlineLevel="0" max="70" min="68" style="0" width="11.1"/>
    <col collapsed="false" customWidth="true" hidden="false" outlineLevel="0" max="71" min="71" style="58" width="11.1"/>
    <col collapsed="false" customWidth="true" hidden="false" outlineLevel="0" max="81" min="72" style="0" width="11.1"/>
  </cols>
  <sheetData>
    <row r="1" customFormat="false" ht="28.5" hidden="false" customHeight="true" outlineLevel="0" collapsed="false">
      <c r="E1" s="5" t="n">
        <v>45887</v>
      </c>
      <c r="F1" s="5" t="n">
        <v>45887</v>
      </c>
      <c r="J1" s="59" t="n">
        <v>45887</v>
      </c>
      <c r="L1" s="59" t="n">
        <v>45887</v>
      </c>
      <c r="N1" s="5" t="n">
        <v>45841</v>
      </c>
      <c r="O1" s="5" t="n">
        <v>45841</v>
      </c>
      <c r="P1" s="59" t="n">
        <v>45750</v>
      </c>
      <c r="Q1" s="59"/>
      <c r="T1" s="57" t="s">
        <v>4</v>
      </c>
      <c r="U1" s="57" t="s">
        <v>5</v>
      </c>
      <c r="V1" s="57" t="s">
        <v>6</v>
      </c>
      <c r="W1" s="57" t="s">
        <v>7</v>
      </c>
      <c r="X1" s="57" t="s">
        <v>8</v>
      </c>
      <c r="Y1" s="57" t="s">
        <v>9</v>
      </c>
      <c r="Z1" s="57" t="s">
        <v>10</v>
      </c>
      <c r="AA1" s="57" t="s">
        <v>11</v>
      </c>
      <c r="AB1" s="57" t="s">
        <v>12</v>
      </c>
      <c r="AC1" s="57" t="s">
        <v>13</v>
      </c>
      <c r="AD1" s="57" t="s">
        <v>14</v>
      </c>
      <c r="AE1" s="57" t="s">
        <v>15</v>
      </c>
      <c r="AF1" s="57" t="s">
        <v>16</v>
      </c>
      <c r="AG1" s="57" t="s">
        <v>17</v>
      </c>
      <c r="AH1" s="57" t="s">
        <v>18</v>
      </c>
      <c r="BD1" s="5" t="n">
        <v>45580</v>
      </c>
      <c r="BE1" s="5" t="n">
        <v>45580</v>
      </c>
    </row>
    <row r="2" customFormat="false" ht="28.5" hidden="false" customHeight="true" outlineLevel="0" collapsed="false">
      <c r="A2" s="7" t="s">
        <v>0</v>
      </c>
      <c r="B2" s="8" t="n">
        <v>-0.5</v>
      </c>
      <c r="C2" s="8"/>
      <c r="D2" s="8"/>
      <c r="E2" s="7" t="s">
        <v>1</v>
      </c>
      <c r="F2" s="7" t="s">
        <v>2</v>
      </c>
      <c r="G2" s="8" t="s">
        <v>19</v>
      </c>
      <c r="H2" s="8" t="s">
        <v>20</v>
      </c>
      <c r="I2" s="9" t="s">
        <v>3</v>
      </c>
      <c r="J2" s="15" t="s">
        <v>21</v>
      </c>
      <c r="K2" s="10" t="s">
        <v>22</v>
      </c>
      <c r="L2" s="15" t="s">
        <v>23</v>
      </c>
      <c r="M2" s="10" t="s">
        <v>24</v>
      </c>
      <c r="N2" s="10" t="s">
        <v>25</v>
      </c>
      <c r="O2" s="10" t="s">
        <v>26</v>
      </c>
      <c r="P2" s="10" t="s">
        <v>27</v>
      </c>
      <c r="Q2" s="10" t="s">
        <v>28</v>
      </c>
      <c r="R2" s="10"/>
      <c r="S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3" t="s">
        <v>29</v>
      </c>
      <c r="BD2" s="10" t="s">
        <v>30</v>
      </c>
    </row>
    <row r="3" customFormat="false" ht="16.4" hidden="false" customHeight="false" outlineLevel="0" collapsed="false">
      <c r="A3" s="11" t="n">
        <v>44562</v>
      </c>
      <c r="B3" s="12"/>
      <c r="C3" s="12"/>
      <c r="D3" s="12"/>
      <c r="E3" s="60" t="n">
        <v>101.22</v>
      </c>
      <c r="F3" s="60" t="n">
        <v>108.84</v>
      </c>
      <c r="G3" s="12"/>
      <c r="H3" s="12"/>
      <c r="I3" s="14"/>
      <c r="J3" s="25"/>
      <c r="K3" s="61"/>
      <c r="L3" s="15"/>
      <c r="M3" s="15"/>
      <c r="N3" s="15"/>
      <c r="O3" s="15"/>
      <c r="P3" s="15"/>
      <c r="Q3" s="15"/>
      <c r="R3" s="15"/>
      <c r="S3" s="10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3"/>
      <c r="BD3" s="55" t="n">
        <v>44562</v>
      </c>
      <c r="BE3" s="0" t="n">
        <v>1.22</v>
      </c>
      <c r="BG3" s="0" t="n">
        <v>100</v>
      </c>
      <c r="BH3" s="62" t="n">
        <f aca="false">BE3+$BG$3</f>
        <v>101.22</v>
      </c>
    </row>
    <row r="4" customFormat="false" ht="16.4" hidden="false" customHeight="false" outlineLevel="0" collapsed="false">
      <c r="A4" s="16" t="n">
        <v>44593</v>
      </c>
      <c r="B4" s="12"/>
      <c r="C4" s="12"/>
      <c r="D4" s="12"/>
      <c r="E4" s="60" t="n">
        <v>100.94</v>
      </c>
      <c r="F4" s="60" t="n">
        <v>108.73</v>
      </c>
      <c r="G4" s="12"/>
      <c r="H4" s="12"/>
      <c r="I4" s="14"/>
      <c r="J4" s="25"/>
      <c r="K4" s="61"/>
      <c r="L4" s="15"/>
      <c r="M4" s="15"/>
      <c r="N4" s="15"/>
      <c r="O4" s="15"/>
      <c r="P4" s="15"/>
      <c r="Q4" s="15"/>
      <c r="R4" s="15"/>
      <c r="S4" s="10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3"/>
      <c r="BD4" s="55" t="n">
        <v>44593</v>
      </c>
      <c r="BE4" s="0" t="n">
        <v>0.94</v>
      </c>
      <c r="BH4" s="62" t="n">
        <f aca="false">BE4+$BG$3</f>
        <v>100.94</v>
      </c>
    </row>
    <row r="5" customFormat="false" ht="16.4" hidden="false" customHeight="false" outlineLevel="0" collapsed="false">
      <c r="A5" s="11" t="n">
        <v>44621</v>
      </c>
      <c r="B5" s="12"/>
      <c r="C5" s="12"/>
      <c r="D5" s="12"/>
      <c r="E5" s="60" t="n">
        <v>105.55</v>
      </c>
      <c r="F5" s="60" t="n">
        <v>113.29</v>
      </c>
      <c r="G5" s="12"/>
      <c r="H5" s="12"/>
      <c r="I5" s="14" t="n">
        <f aca="false">AVERAGE($E3:$E5)^12/100^11-100</f>
        <v>35.5951844490152</v>
      </c>
      <c r="J5" s="25"/>
      <c r="K5" s="61"/>
      <c r="L5" s="15"/>
      <c r="M5" s="15"/>
      <c r="N5" s="15"/>
      <c r="O5" s="15"/>
      <c r="P5" s="15"/>
      <c r="Q5" s="15"/>
      <c r="R5" s="15"/>
      <c r="S5" s="10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3"/>
      <c r="BD5" s="55" t="n">
        <v>44621</v>
      </c>
      <c r="BE5" s="0" t="n">
        <v>5.55</v>
      </c>
      <c r="BH5" s="62" t="n">
        <f aca="false">BE5+$BG$3</f>
        <v>105.55</v>
      </c>
    </row>
    <row r="6" customFormat="false" ht="16.4" hidden="false" customHeight="false" outlineLevel="0" collapsed="false">
      <c r="A6" s="16" t="n">
        <v>44652</v>
      </c>
      <c r="B6" s="12"/>
      <c r="C6" s="12"/>
      <c r="D6" s="12"/>
      <c r="E6" s="60" t="n">
        <v>103.28</v>
      </c>
      <c r="F6" s="60" t="n">
        <v>116</v>
      </c>
      <c r="G6" s="12"/>
      <c r="H6" s="12"/>
      <c r="I6" s="14" t="n">
        <f aca="false">AVERAGE($E4:$E6)^12/100^11-100</f>
        <v>46.8984496892717</v>
      </c>
      <c r="J6" s="25"/>
      <c r="K6" s="61"/>
      <c r="L6" s="15"/>
      <c r="M6" s="15"/>
      <c r="N6" s="15"/>
      <c r="O6" s="15"/>
      <c r="P6" s="15"/>
      <c r="Q6" s="15"/>
      <c r="R6" s="15"/>
      <c r="S6" s="10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3"/>
      <c r="BD6" s="55" t="n">
        <v>44652</v>
      </c>
      <c r="BE6" s="0" t="n">
        <v>3.28</v>
      </c>
      <c r="BH6" s="62" t="n">
        <f aca="false">BE6+$BG$3</f>
        <v>103.28</v>
      </c>
    </row>
    <row r="7" customFormat="false" ht="16.4" hidden="false" customHeight="false" outlineLevel="0" collapsed="false">
      <c r="A7" s="11" t="n">
        <v>44682</v>
      </c>
      <c r="B7" s="12"/>
      <c r="C7" s="12"/>
      <c r="D7" s="12"/>
      <c r="E7" s="60" t="n">
        <v>100.68</v>
      </c>
      <c r="F7" s="60" t="n">
        <v>116.31</v>
      </c>
      <c r="G7" s="12"/>
      <c r="H7" s="12"/>
      <c r="I7" s="14" t="n">
        <f aca="false">AVERAGE($E5:$E7)^12/100^11-100</f>
        <v>45.4257011947349</v>
      </c>
      <c r="J7" s="25"/>
      <c r="K7" s="61"/>
      <c r="L7" s="3"/>
      <c r="M7" s="3"/>
      <c r="N7" s="3"/>
      <c r="O7" s="3"/>
      <c r="P7" s="3"/>
      <c r="Q7" s="3"/>
      <c r="R7" s="3"/>
      <c r="S7" s="6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55" t="n">
        <v>44682</v>
      </c>
      <c r="BE7" s="0" t="n">
        <v>0.68</v>
      </c>
      <c r="BH7" s="62" t="n">
        <f aca="false">BE7+$BG$3</f>
        <v>100.68</v>
      </c>
    </row>
    <row r="8" customFormat="false" ht="14.25" hidden="false" customHeight="false" outlineLevel="0" collapsed="false">
      <c r="A8" s="16" t="n">
        <v>44713</v>
      </c>
      <c r="B8" s="17"/>
      <c r="C8" s="17"/>
      <c r="D8" s="17"/>
      <c r="E8" s="64" t="n">
        <v>99.32</v>
      </c>
      <c r="F8" s="64" t="n">
        <v>114.88</v>
      </c>
      <c r="G8" s="17"/>
      <c r="H8" s="17"/>
      <c r="I8" s="14" t="n">
        <f aca="false">AVERAGE($E6:$E8)^12/100^11-100</f>
        <v>13.938422005549</v>
      </c>
      <c r="J8" s="25"/>
      <c r="K8" s="23"/>
      <c r="L8" s="3"/>
      <c r="M8" s="3"/>
      <c r="N8" s="3"/>
      <c r="O8" s="3"/>
      <c r="P8" s="3"/>
      <c r="Q8" s="3"/>
      <c r="R8" s="3"/>
      <c r="S8" s="6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55" t="n">
        <v>44713</v>
      </c>
      <c r="BE8" s="0" t="n">
        <v>-0.68</v>
      </c>
      <c r="BH8" s="62" t="n">
        <f aca="false">BE8+$BG$3</f>
        <v>99.32</v>
      </c>
    </row>
    <row r="9" customFormat="false" ht="16.4" hidden="false" customHeight="false" outlineLevel="0" collapsed="false">
      <c r="A9" s="11" t="n">
        <v>44743</v>
      </c>
      <c r="B9" s="17"/>
      <c r="C9" s="17"/>
      <c r="D9" s="17"/>
      <c r="E9" s="64" t="n">
        <v>99.23</v>
      </c>
      <c r="F9" s="64" t="n">
        <v>113.75</v>
      </c>
      <c r="G9" s="17"/>
      <c r="H9" s="17"/>
      <c r="I9" s="14" t="n">
        <f aca="false">AVERAGE($E7:$E9)^12/100^11-100</f>
        <v>-3.03689051707281</v>
      </c>
      <c r="J9" s="25"/>
      <c r="K9" s="23"/>
      <c r="L9" s="3"/>
      <c r="M9" s="3"/>
      <c r="N9" s="3"/>
      <c r="O9" s="3"/>
      <c r="P9" s="3"/>
      <c r="Q9" s="3"/>
      <c r="R9" s="3"/>
      <c r="S9" s="6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55" t="n">
        <v>44743</v>
      </c>
      <c r="BE9" s="0" t="n">
        <v>-0.77</v>
      </c>
      <c r="BH9" s="62" t="n">
        <f aca="false">BE9+$BG$3</f>
        <v>99.23</v>
      </c>
    </row>
    <row r="10" customFormat="false" ht="14.25" hidden="false" customHeight="false" outlineLevel="0" collapsed="false">
      <c r="A10" s="16" t="n">
        <v>44774</v>
      </c>
      <c r="B10" s="17"/>
      <c r="C10" s="17"/>
      <c r="D10" s="17"/>
      <c r="E10" s="64" t="n">
        <v>99.43</v>
      </c>
      <c r="F10" s="64" t="n">
        <v>112.92</v>
      </c>
      <c r="G10" s="17"/>
      <c r="H10" s="17"/>
      <c r="I10" s="14" t="n">
        <f aca="false">AVERAGE($E8:$E10)^12/100^11-100</f>
        <v>-7.78738604247022</v>
      </c>
      <c r="J10" s="25"/>
      <c r="K10" s="23"/>
      <c r="L10" s="3"/>
      <c r="M10" s="3"/>
      <c r="N10" s="3"/>
      <c r="O10" s="3"/>
      <c r="P10" s="3"/>
      <c r="Q10" s="3"/>
      <c r="R10" s="3"/>
      <c r="S10" s="6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55" t="n">
        <v>44774</v>
      </c>
      <c r="BE10" s="0" t="n">
        <v>-0.57</v>
      </c>
      <c r="BH10" s="62" t="n">
        <f aca="false">BE10+$BG$3</f>
        <v>99.43</v>
      </c>
    </row>
    <row r="11" customFormat="false" ht="16.4" hidden="false" customHeight="false" outlineLevel="0" collapsed="false">
      <c r="A11" s="11" t="n">
        <v>44805</v>
      </c>
      <c r="B11" s="17"/>
      <c r="C11" s="17"/>
      <c r="D11" s="17"/>
      <c r="E11" s="64" t="n">
        <v>100.33</v>
      </c>
      <c r="F11" s="64" t="n">
        <v>112.46</v>
      </c>
      <c r="G11" s="17"/>
      <c r="H11" s="17"/>
      <c r="I11" s="14" t="n">
        <f aca="false">AVERAGE($E9:$E11)^12/100^11-100</f>
        <v>-3.96602584605935</v>
      </c>
      <c r="J11" s="25"/>
      <c r="K11" s="23"/>
      <c r="L11" s="3"/>
      <c r="M11" s="3"/>
      <c r="N11" s="3"/>
      <c r="O11" s="3"/>
      <c r="P11" s="3"/>
      <c r="Q11" s="3"/>
      <c r="R11" s="3"/>
      <c r="S11" s="6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55" t="n">
        <v>44805</v>
      </c>
      <c r="BE11" s="0" t="n">
        <v>0.33</v>
      </c>
      <c r="BH11" s="62" t="n">
        <f aca="false">BE11+$BG$3</f>
        <v>100.33</v>
      </c>
    </row>
    <row r="12" customFormat="false" ht="14.25" hidden="false" customHeight="false" outlineLevel="0" collapsed="false">
      <c r="A12" s="16" t="n">
        <v>44835</v>
      </c>
      <c r="B12" s="17"/>
      <c r="C12" s="17"/>
      <c r="D12" s="17"/>
      <c r="E12" s="64" t="n">
        <v>100.66</v>
      </c>
      <c r="F12" s="64" t="n">
        <v>112.17</v>
      </c>
      <c r="G12" s="17"/>
      <c r="H12" s="17"/>
      <c r="I12" s="14" t="n">
        <f aca="false">AVERAGE($E10:$E12)^12/100^11-100</f>
        <v>1.69299655858586</v>
      </c>
      <c r="J12" s="25"/>
      <c r="K12" s="23"/>
      <c r="L12" s="3"/>
      <c r="M12" s="3"/>
      <c r="N12" s="3"/>
      <c r="O12" s="3"/>
      <c r="P12" s="3"/>
      <c r="Q12" s="3"/>
      <c r="R12" s="3"/>
      <c r="S12" s="6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55" t="n">
        <v>44835</v>
      </c>
      <c r="BE12" s="0" t="n">
        <v>0.66</v>
      </c>
      <c r="BH12" s="62" t="n">
        <f aca="false">BE12+$BG$3</f>
        <v>100.66</v>
      </c>
    </row>
    <row r="13" customFormat="false" ht="16.4" hidden="false" customHeight="false" outlineLevel="0" collapsed="false">
      <c r="A13" s="11" t="n">
        <v>44866</v>
      </c>
      <c r="B13" s="17"/>
      <c r="C13" s="17"/>
      <c r="D13" s="17"/>
      <c r="E13" s="64" t="n">
        <v>100.26</v>
      </c>
      <c r="F13" s="64" t="n">
        <v>111.51</v>
      </c>
      <c r="G13" s="17"/>
      <c r="H13" s="17"/>
      <c r="I13" s="14" t="n">
        <f aca="false">AVERAGE($E11:$E13)^12/100^11-100</f>
        <v>5.11618978817337</v>
      </c>
      <c r="J13" s="25"/>
      <c r="K13" s="23"/>
      <c r="L13" s="3"/>
      <c r="M13" s="3"/>
      <c r="N13" s="3"/>
      <c r="O13" s="3"/>
      <c r="P13" s="3"/>
      <c r="Q13" s="3"/>
      <c r="R13" s="3"/>
      <c r="S13" s="6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55" t="n">
        <v>44866</v>
      </c>
      <c r="BE13" s="0" t="n">
        <v>0.26</v>
      </c>
      <c r="BH13" s="62" t="n">
        <f aca="false">BE13+$BG$3</f>
        <v>100.26</v>
      </c>
    </row>
    <row r="14" customFormat="false" ht="14.25" hidden="false" customHeight="false" outlineLevel="0" collapsed="false">
      <c r="A14" s="16" t="n">
        <v>44896</v>
      </c>
      <c r="B14" s="17"/>
      <c r="C14" s="17"/>
      <c r="D14" s="17"/>
      <c r="E14" s="64" t="n">
        <v>100.57</v>
      </c>
      <c r="F14" s="64" t="n">
        <v>111.9</v>
      </c>
      <c r="G14" s="17"/>
      <c r="H14" s="17"/>
      <c r="I14" s="14" t="n">
        <f aca="false">AVERAGE($E12:$E14)^12/100^11-100</f>
        <v>6.12553306065077</v>
      </c>
      <c r="J14" s="25"/>
      <c r="K14" s="23"/>
      <c r="L14" s="3"/>
      <c r="M14" s="3"/>
      <c r="N14" s="3"/>
      <c r="O14" s="3"/>
      <c r="P14" s="3"/>
      <c r="Q14" s="3"/>
      <c r="R14" s="3"/>
      <c r="S14" s="6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55" t="n">
        <v>44896</v>
      </c>
      <c r="BE14" s="0" t="n">
        <v>0.57</v>
      </c>
      <c r="BH14" s="62" t="n">
        <f aca="false">BE14+$BG$3</f>
        <v>100.57</v>
      </c>
    </row>
    <row r="15" customFormat="false" ht="16.4" hidden="false" customHeight="false" outlineLevel="0" collapsed="false">
      <c r="A15" s="11" t="n">
        <v>44927</v>
      </c>
      <c r="B15" s="17"/>
      <c r="C15" s="17"/>
      <c r="D15" s="17"/>
      <c r="E15" s="64" t="n">
        <v>101.13</v>
      </c>
      <c r="F15" s="64" t="n">
        <v>111.8</v>
      </c>
      <c r="G15" s="17"/>
      <c r="H15" s="17"/>
      <c r="I15" s="14" t="n">
        <f aca="false">AVERAGE($E13:$E15)^12/100^11-100</f>
        <v>8.12794364790587</v>
      </c>
      <c r="J15" s="25"/>
      <c r="K15" s="23"/>
      <c r="L15" s="3"/>
      <c r="M15" s="3"/>
      <c r="N15" s="3"/>
      <c r="O15" s="3"/>
      <c r="P15" s="3"/>
      <c r="Q15" s="3"/>
      <c r="R15" s="3"/>
      <c r="S15" s="6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55" t="n">
        <v>44927</v>
      </c>
      <c r="BE15" s="0" t="n">
        <v>1.13</v>
      </c>
      <c r="BH15" s="62" t="n">
        <f aca="false">BE15+$BG$3</f>
        <v>101.13</v>
      </c>
    </row>
    <row r="16" customFormat="false" ht="14.25" hidden="false" customHeight="false" outlineLevel="0" collapsed="false">
      <c r="A16" s="16" t="n">
        <v>44958</v>
      </c>
      <c r="B16" s="19"/>
      <c r="C16" s="19"/>
      <c r="D16" s="19"/>
      <c r="E16" s="24" t="n">
        <v>100.75</v>
      </c>
      <c r="F16" s="24" t="n">
        <v>111.59</v>
      </c>
      <c r="G16" s="19"/>
      <c r="H16" s="19"/>
      <c r="I16" s="14" t="n">
        <f aca="false">AVERAGE($E14:$E16)^12/100^11-100</f>
        <v>10.2523891898909</v>
      </c>
      <c r="J16" s="25"/>
      <c r="K16" s="14" t="n">
        <v>0.09</v>
      </c>
      <c r="L16" s="3" t="n">
        <v>100</v>
      </c>
      <c r="M16" s="25" t="n">
        <f aca="false">K16+L16</f>
        <v>100.09</v>
      </c>
      <c r="N16" s="3"/>
      <c r="O16" s="3"/>
      <c r="P16" s="3"/>
      <c r="Q16" s="3"/>
      <c r="R16" s="3"/>
      <c r="S16" s="6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55" t="n">
        <v>44958</v>
      </c>
      <c r="BE16" s="0" t="n">
        <v>0.75</v>
      </c>
      <c r="BH16" s="62" t="n">
        <f aca="false">BE16+$BG$3</f>
        <v>100.75</v>
      </c>
    </row>
    <row r="17" customFormat="false" ht="16.4" hidden="false" customHeight="false" outlineLevel="0" collapsed="false">
      <c r="A17" s="11" t="n">
        <v>44986</v>
      </c>
      <c r="B17" s="19"/>
      <c r="C17" s="19"/>
      <c r="D17" s="19"/>
      <c r="E17" s="65" t="n">
        <v>100.39</v>
      </c>
      <c r="F17" s="24" t="n">
        <v>106.14</v>
      </c>
      <c r="G17" s="19"/>
      <c r="H17" s="19"/>
      <c r="I17" s="14" t="n">
        <f aca="false">AVERAGE($E15:$E17)^12/100^11-100</f>
        <v>9.46757453632417</v>
      </c>
      <c r="J17" s="25"/>
      <c r="K17" s="14" t="n">
        <v>0.62</v>
      </c>
      <c r="L17" s="3" t="n">
        <v>100</v>
      </c>
      <c r="M17" s="25" t="n">
        <f aca="false">K17+L17</f>
        <v>100.62</v>
      </c>
      <c r="N17" s="3"/>
      <c r="O17" s="3"/>
      <c r="P17" s="3"/>
      <c r="Q17" s="3"/>
      <c r="R17" s="3"/>
      <c r="S17" s="6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55" t="n">
        <v>44986</v>
      </c>
      <c r="BE17" s="0" t="n">
        <v>0.39</v>
      </c>
      <c r="BH17" s="62" t="n">
        <f aca="false">BE17+$BG$3</f>
        <v>100.39</v>
      </c>
    </row>
    <row r="18" customFormat="false" ht="14.25" hidden="false" customHeight="false" outlineLevel="0" collapsed="false">
      <c r="A18" s="16" t="n">
        <v>45017</v>
      </c>
      <c r="B18" s="19"/>
      <c r="C18" s="19"/>
      <c r="D18" s="19"/>
      <c r="E18" s="34" t="n">
        <v>100.72</v>
      </c>
      <c r="F18" s="24" t="n">
        <v>103.51</v>
      </c>
      <c r="G18" s="19"/>
      <c r="H18" s="19"/>
      <c r="I18" s="14" t="n">
        <f aca="false">AVERAGE($E16:$E18)^12/100^11-100</f>
        <v>7.69902108971681</v>
      </c>
      <c r="J18" s="25"/>
      <c r="K18" s="14"/>
      <c r="L18" s="3"/>
      <c r="M18" s="3"/>
      <c r="N18" s="3"/>
      <c r="O18" s="3"/>
      <c r="P18" s="3"/>
      <c r="Q18" s="3"/>
      <c r="R18" s="3"/>
      <c r="S18" s="6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55" t="n">
        <v>45017</v>
      </c>
      <c r="BE18" s="0" t="n">
        <v>0.72</v>
      </c>
      <c r="BH18" s="62" t="n">
        <f aca="false">BE18+$BG$3</f>
        <v>100.72</v>
      </c>
    </row>
    <row r="19" customFormat="false" ht="16.4" hidden="false" customHeight="false" outlineLevel="0" collapsed="false">
      <c r="A19" s="11" t="n">
        <v>45047</v>
      </c>
      <c r="B19" s="19"/>
      <c r="C19" s="19"/>
      <c r="D19" s="19"/>
      <c r="E19" s="34" t="n">
        <v>99.75</v>
      </c>
      <c r="F19" s="24" t="n">
        <v>102.55</v>
      </c>
      <c r="G19" s="19"/>
      <c r="H19" s="19"/>
      <c r="I19" s="14" t="n">
        <f aca="false">AVERAGE($E17:$E19)^12/100^11-100</f>
        <v>3.49475895939679</v>
      </c>
      <c r="J19" s="25"/>
      <c r="K19" s="14"/>
      <c r="L19" s="23"/>
      <c r="M19" s="23"/>
      <c r="N19" s="23"/>
      <c r="O19" s="23"/>
      <c r="P19" s="23"/>
      <c r="Q19" s="23"/>
      <c r="R19" s="23"/>
      <c r="S19" s="61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14"/>
      <c r="BD19" s="55" t="n">
        <v>45047</v>
      </c>
      <c r="BE19" s="0" t="n">
        <v>-0.25</v>
      </c>
      <c r="BH19" s="62" t="n">
        <f aca="false">BE19+$BG$3</f>
        <v>99.75</v>
      </c>
    </row>
    <row r="20" customFormat="false" ht="14.25" hidden="false" customHeight="false" outlineLevel="0" collapsed="false">
      <c r="A20" s="16" t="n">
        <v>45078</v>
      </c>
      <c r="B20" s="19"/>
      <c r="C20" s="19"/>
      <c r="D20" s="19"/>
      <c r="E20" s="34" t="n">
        <v>100.43</v>
      </c>
      <c r="F20" s="24" t="n">
        <v>103.69</v>
      </c>
      <c r="G20" s="19"/>
      <c r="H20" s="19"/>
      <c r="I20" s="14" t="n">
        <f aca="false">AVERAGE($E18:$E20)^12/100^11-100</f>
        <v>3.65999802881309</v>
      </c>
      <c r="J20" s="25"/>
      <c r="K20" s="14"/>
      <c r="L20" s="3"/>
      <c r="M20" s="3"/>
      <c r="N20" s="3"/>
      <c r="O20" s="3"/>
      <c r="P20" s="3"/>
      <c r="Q20" s="3"/>
      <c r="R20" s="3"/>
      <c r="S20" s="6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4"/>
      <c r="BD20" s="55" t="n">
        <v>45078</v>
      </c>
      <c r="BE20" s="0" t="n">
        <v>0.43</v>
      </c>
      <c r="BH20" s="62" t="n">
        <f aca="false">BE20+$BG$3</f>
        <v>100.43</v>
      </c>
    </row>
    <row r="21" customFormat="false" ht="16.4" hidden="false" customHeight="false" outlineLevel="0" collapsed="false">
      <c r="A21" s="11" t="n">
        <v>45108</v>
      </c>
      <c r="B21" s="19"/>
      <c r="C21" s="19"/>
      <c r="D21" s="19"/>
      <c r="E21" s="34" t="n">
        <v>100.5</v>
      </c>
      <c r="F21" s="24" t="n">
        <v>105.03</v>
      </c>
      <c r="G21" s="19"/>
      <c r="H21" s="19"/>
      <c r="I21" s="14" t="n">
        <f aca="false">AVERAGE($E19:$E21)^12/100^11-100</f>
        <v>2.75416684857622</v>
      </c>
      <c r="J21" s="25"/>
      <c r="K21" s="14"/>
      <c r="L21" s="3"/>
      <c r="M21" s="3"/>
      <c r="N21" s="3"/>
      <c r="O21" s="3"/>
      <c r="P21" s="3"/>
      <c r="Q21" s="3"/>
      <c r="R21" s="3"/>
      <c r="S21" s="6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4"/>
      <c r="BD21" s="55" t="n">
        <v>45108</v>
      </c>
      <c r="BE21" s="0" t="n">
        <v>0.5</v>
      </c>
      <c r="BH21" s="62" t="n">
        <f aca="false">BE21+$BG$3</f>
        <v>100.5</v>
      </c>
    </row>
    <row r="22" customFormat="false" ht="14.25" hidden="false" customHeight="false" outlineLevel="0" collapsed="false">
      <c r="A22" s="16" t="n">
        <v>45139</v>
      </c>
      <c r="B22" s="19"/>
      <c r="C22" s="19"/>
      <c r="D22" s="19"/>
      <c r="E22" s="34" t="n">
        <v>99.93</v>
      </c>
      <c r="F22" s="24" t="n">
        <v>105.56</v>
      </c>
      <c r="G22" s="24"/>
      <c r="H22" s="24"/>
      <c r="I22" s="14" t="n">
        <f aca="false">AVERAGE($E20:$E22)^12/100^11-100</f>
        <v>3.49475895939679</v>
      </c>
      <c r="J22" s="56"/>
      <c r="K22" s="66"/>
      <c r="L22" s="3"/>
      <c r="M22" s="25" t="n">
        <f aca="false">F22-L22</f>
        <v>105.56</v>
      </c>
      <c r="N22" s="67" t="n">
        <f aca="false">E22</f>
        <v>99.93</v>
      </c>
      <c r="O22" s="25"/>
      <c r="P22" s="25"/>
      <c r="Q22" s="25"/>
      <c r="R22" s="25"/>
      <c r="S22" s="68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14"/>
      <c r="BD22" s="55" t="n">
        <v>45139</v>
      </c>
      <c r="BE22" s="0" t="n">
        <v>-0.07</v>
      </c>
      <c r="BH22" s="62" t="n">
        <f aca="false">BE22+$BG$3</f>
        <v>99.93</v>
      </c>
    </row>
    <row r="23" customFormat="false" ht="16.4" hidden="false" customHeight="false" outlineLevel="0" collapsed="false">
      <c r="A23" s="11" t="n">
        <v>45170</v>
      </c>
      <c r="B23" s="26"/>
      <c r="C23" s="26"/>
      <c r="D23" s="26"/>
      <c r="E23" s="34" t="n">
        <v>101.75</v>
      </c>
      <c r="F23" s="24" t="n">
        <v>107.05</v>
      </c>
      <c r="G23" s="24"/>
      <c r="H23" s="24"/>
      <c r="I23" s="14" t="n">
        <f aca="false">AVERAGE($E21:$E23)^12/100^11-100</f>
        <v>9.07709064358237</v>
      </c>
      <c r="J23" s="56"/>
      <c r="K23" s="66"/>
      <c r="L23" s="69"/>
      <c r="M23" s="25" t="n">
        <f aca="false">F23-L23</f>
        <v>107.05</v>
      </c>
      <c r="N23" s="67" t="n">
        <f aca="false">E23</f>
        <v>101.75</v>
      </c>
      <c r="O23" s="25"/>
      <c r="P23" s="25"/>
      <c r="Q23" s="25"/>
      <c r="R23" s="25"/>
      <c r="S23" s="68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14"/>
      <c r="BD23" s="55" t="n">
        <v>45170</v>
      </c>
      <c r="BE23" s="0" t="n">
        <v>1.75</v>
      </c>
      <c r="BH23" s="62" t="n">
        <f aca="false">BE23+$BG$3</f>
        <v>101.75</v>
      </c>
    </row>
    <row r="24" customFormat="false" ht="14.25" hidden="false" customHeight="false" outlineLevel="0" collapsed="false">
      <c r="A24" s="16" t="n">
        <v>45200</v>
      </c>
      <c r="B24" s="24" t="n">
        <f aca="false">E24-0.5</f>
        <v>99.96</v>
      </c>
      <c r="C24" s="24"/>
      <c r="D24" s="24"/>
      <c r="E24" s="34" t="n">
        <v>100.46</v>
      </c>
      <c r="F24" s="24" t="n">
        <v>106.84</v>
      </c>
      <c r="G24" s="24"/>
      <c r="H24" s="24"/>
      <c r="I24" s="14" t="n">
        <f aca="false">AVERAGE($E22:$E24)^12/100^11-100</f>
        <v>8.90395244059377</v>
      </c>
      <c r="J24" s="56"/>
      <c r="K24" s="66"/>
      <c r="L24" s="69"/>
      <c r="M24" s="25" t="n">
        <f aca="false">F24-L24</f>
        <v>106.84</v>
      </c>
      <c r="N24" s="70"/>
      <c r="O24" s="25"/>
      <c r="P24" s="25"/>
      <c r="Q24" s="25"/>
      <c r="R24" s="25"/>
      <c r="S24" s="68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14"/>
      <c r="BD24" s="55" t="n">
        <v>45200</v>
      </c>
      <c r="BE24" s="0" t="n">
        <v>0.46</v>
      </c>
      <c r="BH24" s="62" t="n">
        <f aca="false">BE24+$BG$3</f>
        <v>100.46</v>
      </c>
    </row>
    <row r="25" customFormat="false" ht="16.4" hidden="false" customHeight="false" outlineLevel="0" collapsed="false">
      <c r="A25" s="11" t="n">
        <v>45231</v>
      </c>
      <c r="B25" s="26"/>
      <c r="C25" s="26"/>
      <c r="D25" s="26"/>
      <c r="E25" s="34" t="n">
        <v>100.74</v>
      </c>
      <c r="F25" s="24" t="n">
        <v>107.34</v>
      </c>
      <c r="G25" s="26" t="n">
        <v>107.34</v>
      </c>
      <c r="H25" s="26"/>
      <c r="I25" s="14" t="n">
        <f aca="false">AVERAGE($E23:$E25)^12/100^11-100</f>
        <v>12.4595717465677</v>
      </c>
      <c r="J25" s="56"/>
      <c r="K25" s="66"/>
      <c r="L25" s="56"/>
      <c r="M25" s="25" t="n">
        <f aca="false">F25-L25</f>
        <v>107.34</v>
      </c>
      <c r="N25" s="70"/>
      <c r="O25" s="25"/>
      <c r="P25" s="56"/>
      <c r="Q25" s="25"/>
      <c r="R25" s="25"/>
      <c r="S25" s="68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14"/>
      <c r="BD25" s="55" t="n">
        <v>45231</v>
      </c>
      <c r="BE25" s="0" t="n">
        <v>0.74</v>
      </c>
      <c r="BH25" s="62" t="n">
        <f aca="false">BE25+$BG$3</f>
        <v>100.74</v>
      </c>
    </row>
    <row r="26" customFormat="false" ht="14.25" hidden="false" customHeight="false" outlineLevel="0" collapsed="false">
      <c r="A26" s="16" t="n">
        <v>45261</v>
      </c>
      <c r="B26" s="24"/>
      <c r="C26" s="24"/>
      <c r="D26" s="24"/>
      <c r="E26" s="34" t="n">
        <v>100.29</v>
      </c>
      <c r="F26" s="24" t="n">
        <v>107.05</v>
      </c>
      <c r="G26" s="24" t="n">
        <v>100.29</v>
      </c>
      <c r="H26" s="24"/>
      <c r="I26" s="14" t="n">
        <f aca="false">AVERAGE($E24:$E26)^12/100^11-100</f>
        <v>6.12553306065077</v>
      </c>
      <c r="J26" s="56"/>
      <c r="K26" s="66"/>
      <c r="L26" s="56"/>
      <c r="M26" s="25" t="n">
        <f aca="false">F26-L26</f>
        <v>107.05</v>
      </c>
      <c r="N26" s="70"/>
      <c r="O26" s="25"/>
      <c r="P26" s="56"/>
      <c r="Q26" s="25"/>
      <c r="R26" s="25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14"/>
      <c r="BD26" s="55" t="n">
        <v>45261</v>
      </c>
      <c r="BE26" s="0" t="n">
        <v>0.29</v>
      </c>
      <c r="BH26" s="62" t="n">
        <f aca="false">BE26+$BG$3</f>
        <v>100.29</v>
      </c>
    </row>
    <row r="27" customFormat="false" ht="15" hidden="false" customHeight="true" outlineLevel="0" collapsed="false">
      <c r="A27" s="11" t="n">
        <v>45292</v>
      </c>
      <c r="B27" s="24"/>
      <c r="C27" s="24"/>
      <c r="D27" s="24"/>
      <c r="E27" s="34" t="n">
        <v>100.87</v>
      </c>
      <c r="F27" s="24" t="n">
        <v>106.77</v>
      </c>
      <c r="G27" s="24" t="n">
        <v>100.87</v>
      </c>
      <c r="H27" s="24"/>
      <c r="I27" s="14" t="n">
        <f aca="false">AVERAGE($E25:$E27)^12/100^11-100</f>
        <v>7.87040260177953</v>
      </c>
      <c r="J27" s="56"/>
      <c r="K27" s="66"/>
      <c r="L27" s="56"/>
      <c r="M27" s="25"/>
      <c r="N27" s="70"/>
      <c r="O27" s="25"/>
      <c r="P27" s="56"/>
      <c r="Q27" s="25"/>
      <c r="R27" s="25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14"/>
      <c r="BD27" s="55" t="n">
        <v>45292</v>
      </c>
      <c r="BE27" s="0" t="n">
        <v>0.87</v>
      </c>
      <c r="BH27" s="62" t="n">
        <f aca="false">BE27+$BG$3</f>
        <v>100.87</v>
      </c>
    </row>
    <row r="28" customFormat="false" ht="14.25" hidden="false" customHeight="false" outlineLevel="0" collapsed="false">
      <c r="A28" s="16" t="n">
        <v>45323</v>
      </c>
      <c r="B28" s="24"/>
      <c r="C28" s="24"/>
      <c r="D28" s="24"/>
      <c r="E28" s="34" t="n">
        <v>100.53</v>
      </c>
      <c r="F28" s="24" t="n">
        <v>106.54</v>
      </c>
      <c r="G28" s="24" t="n">
        <v>100.53</v>
      </c>
      <c r="H28" s="24"/>
      <c r="I28" s="14" t="n">
        <f aca="false">AVERAGE($E26:$E28)^12/100^11-100</f>
        <v>6.97343059130941</v>
      </c>
      <c r="J28" s="56"/>
      <c r="K28" s="66"/>
      <c r="L28" s="56"/>
      <c r="M28" s="25"/>
      <c r="N28" s="70"/>
      <c r="O28" s="25"/>
      <c r="P28" s="25"/>
      <c r="Q28" s="25"/>
      <c r="R28" s="25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14"/>
      <c r="BD28" s="55" t="n">
        <v>45323</v>
      </c>
      <c r="BE28" s="0" t="n">
        <v>0.53</v>
      </c>
      <c r="BH28" s="62" t="n">
        <f aca="false">BE28+$BG$3</f>
        <v>100.53</v>
      </c>
    </row>
    <row r="29" customFormat="false" ht="16.4" hidden="false" customHeight="false" outlineLevel="0" collapsed="false">
      <c r="A29" s="11" t="n">
        <v>45352</v>
      </c>
      <c r="B29" s="24"/>
      <c r="C29" s="24"/>
      <c r="D29" s="24"/>
      <c r="E29" s="34" t="n">
        <v>100.53</v>
      </c>
      <c r="F29" s="24" t="n">
        <v>106.68</v>
      </c>
      <c r="G29" s="24" t="n">
        <v>100.53</v>
      </c>
      <c r="H29" s="24"/>
      <c r="I29" s="14" t="n">
        <f aca="false">AVERAGE($E27:$E29)^12/100^11-100</f>
        <v>7.99910275378316</v>
      </c>
      <c r="J29" s="56"/>
      <c r="K29" s="66"/>
      <c r="L29" s="56"/>
      <c r="M29" s="25"/>
      <c r="N29" s="70"/>
      <c r="O29" s="25"/>
      <c r="P29" s="25"/>
      <c r="Q29" s="25"/>
      <c r="R29" s="25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14"/>
      <c r="BD29" s="55" t="n">
        <v>45352</v>
      </c>
      <c r="BE29" s="0" t="n">
        <v>0.53</v>
      </c>
      <c r="BH29" s="62" t="n">
        <f aca="false">BE29+$BG$3</f>
        <v>100.53</v>
      </c>
    </row>
    <row r="30" customFormat="false" ht="14.25" hidden="false" customHeight="false" outlineLevel="0" collapsed="false">
      <c r="A30" s="16" t="n">
        <v>45383</v>
      </c>
      <c r="B30" s="24"/>
      <c r="C30" s="24"/>
      <c r="D30" s="24"/>
      <c r="E30" s="65" t="n">
        <v>100.38</v>
      </c>
      <c r="F30" s="24" t="n">
        <v>106.32</v>
      </c>
      <c r="G30" s="24" t="n">
        <v>100.38</v>
      </c>
      <c r="H30" s="24"/>
      <c r="I30" s="14" t="n">
        <f aca="false">AVERAGE($E28:$E30)^12/100^11-100</f>
        <v>5.91452350359876</v>
      </c>
      <c r="J30" s="56"/>
      <c r="K30" s="66"/>
      <c r="L30" s="56"/>
      <c r="M30" s="25"/>
      <c r="N30" s="70"/>
      <c r="O30" s="25"/>
      <c r="P30" s="25"/>
      <c r="Q30" s="25"/>
      <c r="R30" s="25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14"/>
      <c r="BD30" s="55" t="n">
        <v>45383</v>
      </c>
      <c r="BE30" s="0" t="n">
        <v>0.38</v>
      </c>
      <c r="BH30" s="62" t="n">
        <f aca="false">BE30+$BG$3</f>
        <v>100.38</v>
      </c>
    </row>
    <row r="31" customFormat="false" ht="16.4" hidden="false" customHeight="false" outlineLevel="0" collapsed="false">
      <c r="A31" s="11" t="n">
        <v>45413</v>
      </c>
      <c r="B31" s="24"/>
      <c r="C31" s="24"/>
      <c r="D31" s="24"/>
      <c r="E31" s="65" t="n">
        <v>100.94</v>
      </c>
      <c r="F31" s="24" t="n">
        <v>107.59</v>
      </c>
      <c r="G31" s="24" t="n">
        <v>100.94</v>
      </c>
      <c r="H31" s="24"/>
      <c r="I31" s="14" t="n">
        <f aca="false">AVERAGE($E29:$E31)^12/100^11-100</f>
        <v>7.65621472911278</v>
      </c>
      <c r="J31" s="56"/>
      <c r="K31" s="66"/>
      <c r="L31" s="56"/>
      <c r="M31" s="25"/>
      <c r="N31" s="70"/>
      <c r="O31" s="25"/>
      <c r="P31" s="25"/>
      <c r="Q31" s="25"/>
      <c r="R31" s="25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14"/>
      <c r="BD31" s="55" t="n">
        <v>45413</v>
      </c>
      <c r="BE31" s="0" t="n">
        <v>0.94</v>
      </c>
      <c r="BH31" s="62" t="n">
        <f aca="false">BE31+$BG$3</f>
        <v>100.94</v>
      </c>
    </row>
    <row r="32" customFormat="false" ht="16.4" hidden="false" customHeight="false" outlineLevel="0" collapsed="false">
      <c r="A32" s="16" t="n">
        <v>45444</v>
      </c>
      <c r="B32" s="24"/>
      <c r="C32" s="24"/>
      <c r="D32" s="24"/>
      <c r="E32" s="65" t="n">
        <v>100.18</v>
      </c>
      <c r="F32" s="24" t="n">
        <v>107.33</v>
      </c>
      <c r="G32" s="24" t="n">
        <v>100.18</v>
      </c>
      <c r="H32" s="24"/>
      <c r="I32" s="14" t="n">
        <f aca="false">AVERAGE($E30:$E32)^12/100^11-100</f>
        <v>6.16778118644996</v>
      </c>
      <c r="J32" s="25"/>
      <c r="K32" s="66"/>
      <c r="L32" s="25"/>
      <c r="M32" s="25"/>
      <c r="N32" s="70"/>
      <c r="O32" s="25"/>
      <c r="P32" s="71" t="n">
        <v>99.9942186541123</v>
      </c>
      <c r="Q32" s="71" t="n">
        <v>106.070357585201</v>
      </c>
      <c r="R32" s="25" t="n">
        <v>106.011123287363</v>
      </c>
      <c r="S32" s="68"/>
      <c r="T32" s="10" t="n">
        <v>100.18</v>
      </c>
      <c r="U32" s="10" t="n">
        <v>100.18</v>
      </c>
      <c r="V32" s="10" t="n">
        <v>100.18</v>
      </c>
      <c r="W32" s="10" t="n">
        <v>100.18</v>
      </c>
      <c r="X32" s="10" t="n">
        <v>100.18</v>
      </c>
      <c r="Y32" s="10" t="n">
        <v>100.18</v>
      </c>
      <c r="Z32" s="10" t="n">
        <v>100.18</v>
      </c>
      <c r="AA32" s="10" t="n">
        <v>100.18</v>
      </c>
      <c r="AB32" s="10" t="n">
        <v>100.18</v>
      </c>
      <c r="AC32" s="10" t="n">
        <v>100.18</v>
      </c>
      <c r="AD32" s="10" t="n">
        <v>100.18</v>
      </c>
      <c r="AE32" s="10" t="n">
        <v>100.18</v>
      </c>
      <c r="AF32" s="10" t="n">
        <v>100.18</v>
      </c>
      <c r="AG32" s="10" t="n">
        <v>100.18</v>
      </c>
      <c r="AH32" s="10" t="n">
        <v>100.18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14"/>
      <c r="BD32" s="55" t="n">
        <v>45444</v>
      </c>
      <c r="BE32" s="0" t="n">
        <v>0.18</v>
      </c>
      <c r="BH32" s="62" t="n">
        <f aca="false">BE32+$BG$3</f>
        <v>100.18</v>
      </c>
    </row>
    <row r="33" customFormat="false" ht="16.4" hidden="false" customHeight="false" outlineLevel="0" collapsed="false">
      <c r="A33" s="11" t="n">
        <v>45474</v>
      </c>
      <c r="B33" s="24"/>
      <c r="C33" s="24"/>
      <c r="D33" s="24"/>
      <c r="E33" s="65" t="n">
        <v>101.07</v>
      </c>
      <c r="F33" s="24" t="n">
        <v>107.94</v>
      </c>
      <c r="G33" s="24" t="n">
        <v>101.07</v>
      </c>
      <c r="H33" s="24"/>
      <c r="I33" s="14" t="n">
        <f aca="false">AVERAGE($E31:$E33)^12/100^11-100</f>
        <v>9.12041460123689</v>
      </c>
      <c r="J33" s="25"/>
      <c r="K33" s="66" t="n">
        <f aca="false">E33-J33</f>
        <v>101.07</v>
      </c>
      <c r="L33" s="25"/>
      <c r="M33" s="25"/>
      <c r="N33" s="70"/>
      <c r="O33" s="25"/>
      <c r="P33" s="71" t="n">
        <v>100.72</v>
      </c>
      <c r="Q33" s="71" t="n">
        <v>106.771270188578</v>
      </c>
      <c r="R33" s="25" t="n">
        <v>104.91751917322</v>
      </c>
      <c r="S33" s="68"/>
      <c r="T33" s="10" t="n">
        <v>101.07</v>
      </c>
      <c r="U33" s="10" t="n">
        <v>101.07</v>
      </c>
      <c r="V33" s="10" t="n">
        <v>101.07</v>
      </c>
      <c r="W33" s="10" t="n">
        <v>101.07</v>
      </c>
      <c r="X33" s="10" t="n">
        <v>101.07</v>
      </c>
      <c r="Y33" s="10" t="n">
        <v>101.07</v>
      </c>
      <c r="Z33" s="10" t="n">
        <v>101.07</v>
      </c>
      <c r="AA33" s="10" t="n">
        <v>101.07</v>
      </c>
      <c r="AB33" s="10" t="n">
        <v>101.07</v>
      </c>
      <c r="AC33" s="10" t="n">
        <v>101.07</v>
      </c>
      <c r="AD33" s="10" t="n">
        <v>101.07</v>
      </c>
      <c r="AE33" s="10" t="n">
        <v>101.07</v>
      </c>
      <c r="AF33" s="10" t="n">
        <v>101.07</v>
      </c>
      <c r="AG33" s="10" t="n">
        <v>101.07</v>
      </c>
      <c r="AH33" s="10" t="n">
        <v>101.07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14"/>
      <c r="BD33" s="55" t="n">
        <v>45474</v>
      </c>
      <c r="BE33" s="0" t="n">
        <v>1.07</v>
      </c>
      <c r="BH33" s="62" t="n">
        <f aca="false">BE33+$BG$3</f>
        <v>101.07</v>
      </c>
    </row>
    <row r="34" customFormat="false" ht="16.4" hidden="false" customHeight="false" outlineLevel="0" collapsed="false">
      <c r="A34" s="16" t="n">
        <v>45505</v>
      </c>
      <c r="B34" s="24"/>
      <c r="C34" s="24"/>
      <c r="D34" s="24"/>
      <c r="E34" s="34" t="n">
        <v>100.09</v>
      </c>
      <c r="F34" s="24" t="n">
        <v>108.1</v>
      </c>
      <c r="G34" s="24" t="n">
        <v>100.09</v>
      </c>
      <c r="H34" s="24"/>
      <c r="I34" s="14" t="n">
        <f aca="false">AVERAGE($E32:$E34)^12/100^11-100</f>
        <v>5.49365770738656</v>
      </c>
      <c r="J34" s="25"/>
      <c r="K34" s="66" t="n">
        <f aca="false">E34-J34</f>
        <v>100.09</v>
      </c>
      <c r="L34" s="25"/>
      <c r="M34" s="25"/>
      <c r="N34" s="70"/>
      <c r="O34" s="25"/>
      <c r="P34" s="71" t="n">
        <v>100.01719120477</v>
      </c>
      <c r="Q34" s="71" t="n">
        <v>106.864430557663</v>
      </c>
      <c r="R34" s="25" t="n">
        <v>105.264000988348</v>
      </c>
      <c r="S34" s="68"/>
      <c r="T34" s="10" t="n">
        <v>100.09</v>
      </c>
      <c r="U34" s="10" t="n">
        <v>100.09</v>
      </c>
      <c r="V34" s="10" t="n">
        <v>100.09</v>
      </c>
      <c r="W34" s="10" t="n">
        <v>100.09</v>
      </c>
      <c r="X34" s="10" t="n">
        <v>100.09</v>
      </c>
      <c r="Y34" s="10" t="n">
        <v>100.09</v>
      </c>
      <c r="Z34" s="10" t="n">
        <v>100.09</v>
      </c>
      <c r="AA34" s="10" t="n">
        <v>100.09</v>
      </c>
      <c r="AB34" s="10" t="n">
        <v>100.09</v>
      </c>
      <c r="AC34" s="10" t="n">
        <v>100.09</v>
      </c>
      <c r="AD34" s="10" t="n">
        <v>100.09</v>
      </c>
      <c r="AE34" s="10" t="n">
        <v>100.09</v>
      </c>
      <c r="AF34" s="10" t="n">
        <v>100.09</v>
      </c>
      <c r="AG34" s="10" t="n">
        <v>100.09</v>
      </c>
      <c r="AH34" s="10" t="n">
        <v>100.09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14"/>
      <c r="BD34" s="55" t="n">
        <v>45505</v>
      </c>
      <c r="BE34" s="0" t="n">
        <v>0.09</v>
      </c>
      <c r="BH34" s="62" t="n">
        <f aca="false">BE34+$BG$3</f>
        <v>100.09</v>
      </c>
    </row>
    <row r="35" customFormat="false" ht="14.25" hidden="false" customHeight="true" outlineLevel="0" collapsed="false">
      <c r="A35" s="11" t="n">
        <v>45536</v>
      </c>
      <c r="B35" s="24"/>
      <c r="C35" s="24"/>
      <c r="D35" s="24"/>
      <c r="E35" s="65" t="n">
        <v>100.62</v>
      </c>
      <c r="F35" s="24" t="n">
        <v>106.91</v>
      </c>
      <c r="G35" s="24" t="n">
        <v>100.62</v>
      </c>
      <c r="H35" s="24"/>
      <c r="I35" s="14" t="n">
        <f aca="false">AVERAGE($E33:$E35)^12/100^11-100</f>
        <v>7.35700662123239</v>
      </c>
      <c r="J35" s="25"/>
      <c r="K35" s="66" t="n">
        <f aca="false">E35-J35</f>
        <v>100.62</v>
      </c>
      <c r="L35" s="25"/>
      <c r="M35" s="25"/>
      <c r="N35" s="67" t="n">
        <v>100.62</v>
      </c>
      <c r="O35" s="70"/>
      <c r="P35" s="71" t="n">
        <v>100.594672057352</v>
      </c>
      <c r="Q35" s="71" t="n">
        <v>106.904350015595</v>
      </c>
      <c r="R35" s="25" t="n">
        <v>104.722413966055</v>
      </c>
      <c r="S35" s="68"/>
      <c r="T35" s="10" t="n">
        <v>100.62</v>
      </c>
      <c r="U35" s="10" t="n">
        <v>100.62</v>
      </c>
      <c r="V35" s="10" t="n">
        <v>100.62</v>
      </c>
      <c r="W35" s="10" t="n">
        <v>100.62</v>
      </c>
      <c r="X35" s="10" t="n">
        <v>100.62</v>
      </c>
      <c r="Y35" s="10" t="n">
        <v>100.62</v>
      </c>
      <c r="Z35" s="10" t="n">
        <v>100.62</v>
      </c>
      <c r="AA35" s="10" t="n">
        <v>100.62</v>
      </c>
      <c r="AB35" s="10" t="n">
        <v>100.62</v>
      </c>
      <c r="AC35" s="10" t="n">
        <v>100.62</v>
      </c>
      <c r="AD35" s="10" t="n">
        <v>100.62</v>
      </c>
      <c r="AE35" s="10" t="n">
        <v>100.62</v>
      </c>
      <c r="AF35" s="10" t="n">
        <v>100.62</v>
      </c>
      <c r="AG35" s="10" t="n">
        <v>100.62</v>
      </c>
      <c r="AH35" s="10" t="n">
        <v>100.62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14"/>
      <c r="BD35" s="55" t="n">
        <v>45536</v>
      </c>
      <c r="BE35" s="0" t="n">
        <v>0.62</v>
      </c>
      <c r="BH35" s="62" t="n">
        <f aca="false">BE35+$BG$3</f>
        <v>100.62</v>
      </c>
    </row>
    <row r="36" customFormat="false" ht="16.4" hidden="false" customHeight="false" outlineLevel="0" collapsed="false">
      <c r="A36" s="16" t="n">
        <v>45566</v>
      </c>
      <c r="B36" s="24" t="n">
        <f aca="false">E36-0.5</f>
        <v>100.52</v>
      </c>
      <c r="C36" s="24"/>
      <c r="D36" s="24"/>
      <c r="E36" s="34" t="n">
        <v>101.02</v>
      </c>
      <c r="F36" s="24" t="n">
        <v>107.49</v>
      </c>
      <c r="G36" s="24" t="n">
        <v>101.02</v>
      </c>
      <c r="H36" s="24"/>
      <c r="I36" s="14" t="n">
        <f aca="false">AVERAGE($E34:$E36)^12/100^11-100</f>
        <v>7.14375346230894</v>
      </c>
      <c r="J36" s="71" t="n">
        <v>101.02</v>
      </c>
      <c r="K36" s="66" t="n">
        <f aca="false">E36-J36</f>
        <v>0</v>
      </c>
      <c r="L36" s="71" t="n">
        <v>107.49</v>
      </c>
      <c r="M36" s="25" t="n">
        <f aca="false">F36-L36</f>
        <v>0</v>
      </c>
      <c r="N36" s="67" t="n">
        <v>101.02</v>
      </c>
      <c r="O36" s="70"/>
      <c r="P36" s="71" t="n">
        <v>100.482890972229</v>
      </c>
      <c r="Q36" s="71" t="n">
        <v>106.928709407466</v>
      </c>
      <c r="R36" s="25" t="n">
        <v>104.56424485078</v>
      </c>
      <c r="S36" s="68"/>
      <c r="T36" s="10" t="n">
        <v>101.02</v>
      </c>
      <c r="U36" s="10" t="n">
        <v>101.02</v>
      </c>
      <c r="V36" s="10" t="n">
        <v>101.02</v>
      </c>
      <c r="W36" s="10" t="n">
        <v>101.02</v>
      </c>
      <c r="X36" s="10" t="n">
        <v>101.02</v>
      </c>
      <c r="Y36" s="10" t="n">
        <v>101.02</v>
      </c>
      <c r="Z36" s="10" t="n">
        <v>101.02</v>
      </c>
      <c r="AA36" s="10" t="n">
        <v>101.02</v>
      </c>
      <c r="AB36" s="10" t="n">
        <v>101.02</v>
      </c>
      <c r="AC36" s="10" t="n">
        <v>101.02</v>
      </c>
      <c r="AD36" s="10" t="n">
        <v>101.02</v>
      </c>
      <c r="AE36" s="10" t="n">
        <v>101.02</v>
      </c>
      <c r="AF36" s="10" t="n">
        <v>101.02</v>
      </c>
      <c r="AG36" s="10" t="n">
        <v>101.02</v>
      </c>
      <c r="AH36" s="10" t="n">
        <v>101.02</v>
      </c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14"/>
      <c r="BD36" s="14"/>
    </row>
    <row r="37" customFormat="false" ht="16.4" hidden="false" customHeight="false" outlineLevel="0" collapsed="false">
      <c r="A37" s="27" t="n">
        <v>45597</v>
      </c>
      <c r="B37" s="28" t="n">
        <f aca="false">E37-0.5</f>
        <v>101</v>
      </c>
      <c r="C37" s="28"/>
      <c r="D37" s="28"/>
      <c r="E37" s="37" t="n">
        <v>101.5</v>
      </c>
      <c r="F37" s="28" t="n">
        <v>108.31</v>
      </c>
      <c r="G37" s="28" t="n">
        <v>101.5</v>
      </c>
      <c r="H37" s="28"/>
      <c r="I37" s="14" t="n">
        <f aca="false">AVERAGE($E35:$E37)^12/100^11-100</f>
        <v>13.3088674453934</v>
      </c>
      <c r="J37" s="71" t="n">
        <v>101.5</v>
      </c>
      <c r="K37" s="66" t="n">
        <f aca="false">E37-J37</f>
        <v>0</v>
      </c>
      <c r="L37" s="71" t="n">
        <v>108.31</v>
      </c>
      <c r="M37" s="25" t="n">
        <f aca="false">F37-L37</f>
        <v>0</v>
      </c>
      <c r="N37" s="67" t="n">
        <v>101.5</v>
      </c>
      <c r="O37" s="70"/>
      <c r="P37" s="71" t="n">
        <v>101.363488292234</v>
      </c>
      <c r="Q37" s="71" t="n">
        <v>108.165488570003</v>
      </c>
      <c r="R37" s="25" t="n">
        <v>104.000770132166</v>
      </c>
      <c r="S37" s="68"/>
      <c r="T37" s="63" t="n">
        <v>101.5</v>
      </c>
      <c r="U37" s="63" t="n">
        <v>101.5</v>
      </c>
      <c r="V37" s="63" t="n">
        <v>101.5</v>
      </c>
      <c r="W37" s="63" t="n">
        <v>101.5</v>
      </c>
      <c r="X37" s="63" t="n">
        <v>101.5</v>
      </c>
      <c r="Y37" s="63" t="n">
        <v>101.5</v>
      </c>
      <c r="Z37" s="63" t="n">
        <v>101.5</v>
      </c>
      <c r="AA37" s="63" t="n">
        <v>101.5</v>
      </c>
      <c r="AB37" s="63" t="n">
        <v>101.5</v>
      </c>
      <c r="AC37" s="63" t="n">
        <v>101.5</v>
      </c>
      <c r="AD37" s="63" t="n">
        <v>101.5</v>
      </c>
      <c r="AE37" s="63" t="n">
        <v>101.5</v>
      </c>
      <c r="AF37" s="63" t="n">
        <v>101.5</v>
      </c>
      <c r="AG37" s="63" t="n">
        <v>101.5</v>
      </c>
      <c r="AH37" s="63" t="n">
        <v>101.5</v>
      </c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14"/>
      <c r="BD37" s="25"/>
    </row>
    <row r="38" customFormat="false" ht="16.4" hidden="false" customHeight="false" outlineLevel="0" collapsed="false">
      <c r="A38" s="16" t="n">
        <v>45627</v>
      </c>
      <c r="B38" s="31"/>
      <c r="C38" s="31"/>
      <c r="D38" s="31"/>
      <c r="E38" s="34" t="n">
        <v>100.91</v>
      </c>
      <c r="F38" s="24" t="n">
        <v>108.98</v>
      </c>
      <c r="G38" s="32" t="n">
        <v>100.91</v>
      </c>
      <c r="H38" s="31"/>
      <c r="I38" s="24" t="n">
        <f aca="false">AVERAGE($E36:$E38)^12/100^11-100</f>
        <v>14.616501588559</v>
      </c>
      <c r="J38" s="72" t="n">
        <v>100.91</v>
      </c>
      <c r="K38" s="66" t="n">
        <f aca="false">E38-J38</f>
        <v>0</v>
      </c>
      <c r="L38" s="71" t="n">
        <v>108.98</v>
      </c>
      <c r="M38" s="25" t="n">
        <f aca="false">F38-L38</f>
        <v>0</v>
      </c>
      <c r="N38" s="67" t="n">
        <v>100.91</v>
      </c>
      <c r="O38" s="70"/>
      <c r="P38" s="71" t="n">
        <v>100.552619498084</v>
      </c>
      <c r="Q38" s="71" t="n">
        <v>108.448730830629</v>
      </c>
      <c r="R38" s="25" t="n">
        <v>103.815986653401</v>
      </c>
      <c r="S38" s="68"/>
      <c r="T38" s="63" t="n">
        <v>100.91</v>
      </c>
      <c r="U38" s="63" t="n">
        <v>100.91</v>
      </c>
      <c r="V38" s="63" t="n">
        <v>100.91</v>
      </c>
      <c r="W38" s="63" t="n">
        <v>100.91</v>
      </c>
      <c r="X38" s="63" t="n">
        <v>100.91</v>
      </c>
      <c r="Y38" s="63" t="n">
        <v>100.91</v>
      </c>
      <c r="Z38" s="63" t="n">
        <v>100.91</v>
      </c>
      <c r="AA38" s="63" t="n">
        <v>100.91</v>
      </c>
      <c r="AB38" s="63" t="n">
        <v>100.91</v>
      </c>
      <c r="AC38" s="63" t="n">
        <v>100.91</v>
      </c>
      <c r="AD38" s="63" t="n">
        <v>100.91</v>
      </c>
      <c r="AE38" s="63" t="n">
        <v>100.91</v>
      </c>
      <c r="AF38" s="63" t="n">
        <v>100.91</v>
      </c>
      <c r="AG38" s="63" t="n">
        <v>100.91</v>
      </c>
      <c r="AH38" s="63" t="n">
        <v>100.91</v>
      </c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14" t="s">
        <v>31</v>
      </c>
      <c r="BD38" s="25"/>
    </row>
    <row r="39" customFormat="false" ht="16.4" hidden="false" customHeight="false" outlineLevel="0" collapsed="false">
      <c r="A39" s="33" t="n">
        <v>45658</v>
      </c>
      <c r="B39" s="34"/>
      <c r="C39" s="34"/>
      <c r="D39" s="34"/>
      <c r="E39" s="34" t="n">
        <v>100.84</v>
      </c>
      <c r="F39" s="34" t="n">
        <v>108.95</v>
      </c>
      <c r="G39" s="32" t="n">
        <v>100.65</v>
      </c>
      <c r="H39" s="32" t="n">
        <f aca="false">ROUND(PRODUCT(G28:G39)/100^11,2)</f>
        <v>108.74</v>
      </c>
      <c r="I39" s="34" t="n">
        <f aca="false">AVERAGE($E37:$E39)^12/100^11-100</f>
        <v>13.8032481613878</v>
      </c>
      <c r="J39" s="72" t="n">
        <v>100.84</v>
      </c>
      <c r="K39" s="66"/>
      <c r="L39" s="71" t="n">
        <v>108.95</v>
      </c>
      <c r="M39" s="25" t="n">
        <f aca="false">F39-L39</f>
        <v>0</v>
      </c>
      <c r="N39" s="67" t="n">
        <v>100.84</v>
      </c>
      <c r="O39" s="70"/>
      <c r="P39" s="71" t="n">
        <v>101.43</v>
      </c>
      <c r="Q39" s="71" t="n">
        <v>109.59</v>
      </c>
      <c r="R39" s="3"/>
      <c r="S39" s="63"/>
      <c r="T39" s="63" t="n">
        <v>100.84</v>
      </c>
      <c r="U39" s="63" t="n">
        <v>100.84</v>
      </c>
      <c r="V39" s="63" t="n">
        <v>100.84</v>
      </c>
      <c r="W39" s="63" t="n">
        <v>100.84</v>
      </c>
      <c r="X39" s="63" t="n">
        <v>100.84</v>
      </c>
      <c r="Y39" s="63" t="n">
        <v>100.84</v>
      </c>
      <c r="Z39" s="63" t="n">
        <v>100.84</v>
      </c>
      <c r="AA39" s="63" t="n">
        <v>100.84</v>
      </c>
      <c r="AB39" s="63" t="n">
        <v>100.84</v>
      </c>
      <c r="AC39" s="63" t="n">
        <v>100.84</v>
      </c>
      <c r="AD39" s="63" t="n">
        <v>100.84</v>
      </c>
      <c r="AE39" s="63" t="n">
        <v>100.84</v>
      </c>
      <c r="AF39" s="63" t="n">
        <v>100.84</v>
      </c>
      <c r="AG39" s="63" t="n">
        <v>100.84</v>
      </c>
      <c r="AH39" s="63" t="n">
        <v>100.84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73"/>
    </row>
    <row r="40" customFormat="false" ht="16.4" hidden="false" customHeight="false" outlineLevel="0" collapsed="false">
      <c r="A40" s="35" t="n">
        <v>45689</v>
      </c>
      <c r="B40" s="34"/>
      <c r="C40" s="34"/>
      <c r="D40" s="34"/>
      <c r="E40" s="34" t="n">
        <v>101.34</v>
      </c>
      <c r="F40" s="34" t="n">
        <v>109.83</v>
      </c>
      <c r="G40" s="32" t="n">
        <v>100.5</v>
      </c>
      <c r="H40" s="32" t="n">
        <f aca="false">ROUND(PRODUCT(G29:G40)/100^11,2)</f>
        <v>108.71</v>
      </c>
      <c r="I40" s="34" t="n">
        <f aca="false">AVERAGE($E38:$E40)^12/100^11-100</f>
        <v>13.0848004136226</v>
      </c>
      <c r="J40" s="72" t="n">
        <v>101.34</v>
      </c>
      <c r="K40" s="66" t="n">
        <f aca="false">E40-J40</f>
        <v>0</v>
      </c>
      <c r="L40" s="71" t="n">
        <v>109.83</v>
      </c>
      <c r="M40" s="25" t="n">
        <f aca="false">F40-L40</f>
        <v>0</v>
      </c>
      <c r="N40" s="67" t="n">
        <v>101.34</v>
      </c>
      <c r="O40" s="70"/>
      <c r="P40" s="71" t="n">
        <v>100.849358888029</v>
      </c>
      <c r="Q40" s="71" t="n">
        <v>109.294437911341</v>
      </c>
      <c r="R40" s="3"/>
      <c r="S40" s="63"/>
      <c r="T40" s="63" t="n">
        <v>101.34</v>
      </c>
      <c r="U40" s="63" t="n">
        <v>101.34</v>
      </c>
      <c r="V40" s="63" t="n">
        <v>101.34</v>
      </c>
      <c r="W40" s="63" t="n">
        <v>101.34</v>
      </c>
      <c r="X40" s="63" t="n">
        <v>101.34</v>
      </c>
      <c r="Y40" s="63" t="n">
        <v>101.34</v>
      </c>
      <c r="Z40" s="63" t="n">
        <v>101.34</v>
      </c>
      <c r="AA40" s="63" t="n">
        <v>101.34</v>
      </c>
      <c r="AB40" s="63" t="n">
        <v>101.34</v>
      </c>
      <c r="AC40" s="63" t="n">
        <v>101.34</v>
      </c>
      <c r="AD40" s="63" t="n">
        <v>101.34</v>
      </c>
      <c r="AE40" s="63" t="n">
        <v>101.34</v>
      </c>
      <c r="AF40" s="63" t="n">
        <v>101.34</v>
      </c>
      <c r="AG40" s="63" t="n">
        <v>101.34</v>
      </c>
      <c r="AH40" s="63" t="n">
        <v>101.34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73"/>
    </row>
    <row r="41" customFormat="false" ht="15" hidden="false" customHeight="true" outlineLevel="0" collapsed="false">
      <c r="A41" s="36" t="n">
        <v>45717</v>
      </c>
      <c r="B41" s="37"/>
      <c r="C41" s="37"/>
      <c r="D41" s="37"/>
      <c r="E41" s="74" t="n">
        <v>100.81</v>
      </c>
      <c r="F41" s="37" t="n">
        <v>110.13</v>
      </c>
      <c r="G41" s="38" t="n">
        <v>100.56</v>
      </c>
      <c r="H41" s="38" t="n">
        <f aca="false">ROUND(PRODUCT(G30:G41)/100^11,2)</f>
        <v>108.74</v>
      </c>
      <c r="I41" s="37" t="n">
        <f aca="false">AVERAGE($E39:$E41)^12/100^11-100</f>
        <v>12.6378843790016</v>
      </c>
      <c r="J41" s="75" t="n">
        <v>100.81</v>
      </c>
      <c r="K41" s="66" t="n">
        <f aca="false">E41-J41</f>
        <v>0</v>
      </c>
      <c r="L41" s="71" t="n">
        <v>110.13</v>
      </c>
      <c r="M41" s="25" t="n">
        <f aca="false">F41-L41</f>
        <v>0</v>
      </c>
      <c r="N41" s="67" t="n">
        <v>100.81</v>
      </c>
      <c r="O41" s="70"/>
      <c r="P41" s="71" t="n">
        <v>100.792721803259</v>
      </c>
      <c r="Q41" s="71" t="n">
        <v>109.580064409045</v>
      </c>
      <c r="R41" s="3"/>
      <c r="S41" s="63"/>
      <c r="T41" s="63" t="n">
        <v>100.81</v>
      </c>
      <c r="U41" s="63" t="n">
        <v>100.81</v>
      </c>
      <c r="V41" s="63" t="n">
        <v>100.81</v>
      </c>
      <c r="W41" s="63" t="n">
        <v>100.81</v>
      </c>
      <c r="X41" s="63" t="n">
        <v>100.81</v>
      </c>
      <c r="Y41" s="63" t="n">
        <v>100.81</v>
      </c>
      <c r="Z41" s="63" t="n">
        <v>100.81</v>
      </c>
      <c r="AA41" s="63" t="n">
        <v>100.81</v>
      </c>
      <c r="AB41" s="63" t="n">
        <v>100.81</v>
      </c>
      <c r="AC41" s="63" t="n">
        <v>100.81</v>
      </c>
      <c r="AD41" s="63" t="n">
        <v>100.81</v>
      </c>
      <c r="AE41" s="63" t="n">
        <v>100.81</v>
      </c>
      <c r="AF41" s="63" t="n">
        <v>100.81</v>
      </c>
      <c r="AG41" s="63" t="n">
        <v>100.81</v>
      </c>
      <c r="AH41" s="63" t="n">
        <v>100.81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73"/>
    </row>
    <row r="42" customFormat="false" ht="15" hidden="false" customHeight="true" outlineLevel="0" collapsed="false">
      <c r="A42" s="39" t="n">
        <v>45748</v>
      </c>
      <c r="B42" s="40"/>
      <c r="C42" s="40"/>
      <c r="D42" s="40"/>
      <c r="E42" s="40" t="n">
        <v>100.53</v>
      </c>
      <c r="F42" s="40" t="n">
        <v>110.3</v>
      </c>
      <c r="G42" s="42" t="n">
        <v>100.45</v>
      </c>
      <c r="H42" s="42" t="n">
        <f aca="false">ROUND(PRODUCT(G31:G42)/100^11,2)</f>
        <v>108.82</v>
      </c>
      <c r="I42" s="40" t="n">
        <f aca="false">AVERAGE($E40:$E42)^12/100^11-100</f>
        <v>11.2627133732496</v>
      </c>
      <c r="J42" s="76" t="n">
        <v>100.53</v>
      </c>
      <c r="K42" s="77" t="n">
        <f aca="false">E42-J42</f>
        <v>0</v>
      </c>
      <c r="L42" s="78" t="n">
        <v>110.3</v>
      </c>
      <c r="M42" s="79" t="n">
        <f aca="false">F42-L42</f>
        <v>0</v>
      </c>
      <c r="N42" s="80" t="n">
        <v>100.53</v>
      </c>
      <c r="O42" s="81"/>
      <c r="P42" s="78" t="n">
        <v>100.803140840345</v>
      </c>
      <c r="Q42" s="82" t="n">
        <v>109.988295514773</v>
      </c>
      <c r="R42" s="3"/>
      <c r="S42" s="63"/>
      <c r="T42" s="63" t="n">
        <v>100.53</v>
      </c>
      <c r="U42" s="63" t="n">
        <v>100.53</v>
      </c>
      <c r="V42" s="63" t="n">
        <v>100.53</v>
      </c>
      <c r="W42" s="63" t="n">
        <v>100.53</v>
      </c>
      <c r="X42" s="63" t="n">
        <v>100.53</v>
      </c>
      <c r="Y42" s="63" t="n">
        <v>100.53</v>
      </c>
      <c r="Z42" s="63" t="n">
        <v>100.53</v>
      </c>
      <c r="AA42" s="63" t="n">
        <v>100.53</v>
      </c>
      <c r="AB42" s="63" t="n">
        <v>100.53</v>
      </c>
      <c r="AC42" s="63" t="n">
        <v>100.53</v>
      </c>
      <c r="AD42" s="63" t="n">
        <v>100.53</v>
      </c>
      <c r="AE42" s="63" t="n">
        <v>100.53</v>
      </c>
      <c r="AF42" s="63" t="n">
        <v>100.53</v>
      </c>
      <c r="AG42" s="63" t="n">
        <v>100.53</v>
      </c>
      <c r="AH42" s="63" t="n">
        <v>100.53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73"/>
    </row>
    <row r="43" customFormat="false" ht="16.4" hidden="false" customHeight="false" outlineLevel="0" collapsed="false">
      <c r="A43" s="43" t="n">
        <v>45778</v>
      </c>
      <c r="B43" s="44"/>
      <c r="C43" s="44"/>
      <c r="D43" s="44"/>
      <c r="E43" s="44" t="n">
        <v>99.93</v>
      </c>
      <c r="F43" s="44" t="n">
        <v>109.2</v>
      </c>
      <c r="G43" s="46" t="n">
        <v>100.2</v>
      </c>
      <c r="H43" s="46" t="n">
        <f aca="false">ROUND(PRODUCT(G32:G43)/100^11,2)</f>
        <v>108.02</v>
      </c>
      <c r="I43" s="44" t="n">
        <f aca="false">AVERAGE($E41:$E43)^12/100^11-100</f>
        <v>5.19996439209056</v>
      </c>
      <c r="J43" s="83" t="n">
        <v>99.93</v>
      </c>
      <c r="K43" s="66" t="n">
        <f aca="false">E43-J43</f>
        <v>0</v>
      </c>
      <c r="L43" s="71" t="n">
        <v>109.2</v>
      </c>
      <c r="M43" s="25" t="n">
        <f aca="false">F43-L43</f>
        <v>0</v>
      </c>
      <c r="N43" s="67" t="n">
        <v>99.93</v>
      </c>
      <c r="O43" s="70"/>
      <c r="P43" s="71" t="n">
        <v>100.32062363458</v>
      </c>
      <c r="Q43" s="71" t="n">
        <v>109.470500111651</v>
      </c>
      <c r="R43" s="3"/>
      <c r="S43" s="63"/>
      <c r="T43" s="63" t="n">
        <v>99.93</v>
      </c>
      <c r="U43" s="63" t="n">
        <v>99.93</v>
      </c>
      <c r="V43" s="63" t="n">
        <v>99.93</v>
      </c>
      <c r="W43" s="63" t="n">
        <v>99.93</v>
      </c>
      <c r="X43" s="63" t="n">
        <v>99.93</v>
      </c>
      <c r="Y43" s="63" t="n">
        <v>99.93</v>
      </c>
      <c r="Z43" s="63" t="n">
        <v>99.93</v>
      </c>
      <c r="AA43" s="63" t="n">
        <v>99.93</v>
      </c>
      <c r="AB43" s="63" t="n">
        <v>99.93</v>
      </c>
      <c r="AC43" s="63" t="n">
        <v>99.93</v>
      </c>
      <c r="AD43" s="63" t="n">
        <v>99.93</v>
      </c>
      <c r="AE43" s="63" t="n">
        <v>99.93</v>
      </c>
      <c r="AF43" s="63" t="n">
        <v>99.93</v>
      </c>
      <c r="AG43" s="63" t="n">
        <v>99.93</v>
      </c>
      <c r="AH43" s="63" t="n">
        <v>99.93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73"/>
    </row>
    <row r="44" customFormat="false" ht="16.4" hidden="false" customHeight="false" outlineLevel="0" collapsed="false">
      <c r="A44" s="35" t="n">
        <v>45809</v>
      </c>
      <c r="B44" s="34"/>
      <c r="C44" s="34" t="n">
        <f aca="false">E44-100</f>
        <v>-0.0400000000000063</v>
      </c>
      <c r="D44" s="34" t="n">
        <f aca="false">F44-100</f>
        <v>8.95999999999999</v>
      </c>
      <c r="E44" s="34" t="n">
        <v>99.96</v>
      </c>
      <c r="F44" s="34" t="n">
        <v>108.96</v>
      </c>
      <c r="G44" s="32" t="n">
        <v>100.09</v>
      </c>
      <c r="H44" s="32" t="n">
        <f aca="false">ROUND(PRODUCT(G33:G44)/100^11,2)</f>
        <v>107.92</v>
      </c>
      <c r="I44" s="34" t="n">
        <f aca="false">AVERAGE($E42:$E44)^12/100^11-100</f>
        <v>1.69299655858586</v>
      </c>
      <c r="J44" s="72" t="n">
        <v>99.96</v>
      </c>
      <c r="K44" s="66" t="n">
        <f aca="false">E44-J44</f>
        <v>0</v>
      </c>
      <c r="L44" s="71" t="n">
        <v>108.96</v>
      </c>
      <c r="M44" s="25" t="n">
        <f aca="false">F44-L44</f>
        <v>0</v>
      </c>
      <c r="N44" s="67" t="n">
        <v>99.96</v>
      </c>
      <c r="O44" s="70"/>
      <c r="P44" s="71" t="n">
        <v>100.199715601023</v>
      </c>
      <c r="Q44" s="71" t="n">
        <v>109.610189912905</v>
      </c>
      <c r="R44" s="3"/>
      <c r="S44" s="63"/>
      <c r="T44" s="63" t="n">
        <v>100</v>
      </c>
      <c r="U44" s="63" t="n">
        <v>100.26</v>
      </c>
      <c r="V44" s="63" t="n">
        <v>99.74</v>
      </c>
      <c r="W44" s="63" t="n">
        <v>99.32</v>
      </c>
      <c r="X44" s="63" t="n">
        <v>99.99</v>
      </c>
      <c r="Y44" s="63" t="n">
        <v>99.86</v>
      </c>
      <c r="Z44" s="63" t="n">
        <v>100.12</v>
      </c>
      <c r="AA44" s="63" t="n">
        <v>100.03</v>
      </c>
      <c r="AB44" s="63" t="n">
        <v>100.39</v>
      </c>
      <c r="AC44" s="63" t="n">
        <v>100.11</v>
      </c>
      <c r="AD44" s="63" t="n">
        <v>100.06</v>
      </c>
      <c r="AE44" s="63" t="n">
        <v>99.78</v>
      </c>
      <c r="AF44" s="63" t="n">
        <v>100</v>
      </c>
      <c r="AG44" s="63" t="n">
        <v>100.11</v>
      </c>
      <c r="AH44" s="63" t="n">
        <v>100.02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73"/>
    </row>
    <row r="45" customFormat="false" ht="16.4" hidden="false" customHeight="false" outlineLevel="0" collapsed="false">
      <c r="A45" s="33" t="n">
        <v>45839</v>
      </c>
      <c r="B45" s="34"/>
      <c r="C45" s="34" t="n">
        <f aca="false">E45-100</f>
        <v>0.359999999999999</v>
      </c>
      <c r="D45" s="34" t="n">
        <f aca="false">F45-100</f>
        <v>8.19</v>
      </c>
      <c r="E45" s="34" t="n">
        <v>100.36</v>
      </c>
      <c r="F45" s="34" t="n">
        <v>108.19</v>
      </c>
      <c r="G45" s="32" t="n">
        <v>101</v>
      </c>
      <c r="H45" s="32" t="n">
        <f aca="false">ROUND(PRODUCT(G34:G45)/100^11,2)</f>
        <v>107.85</v>
      </c>
      <c r="I45" s="34" t="n">
        <f aca="false">AVERAGE($E43:$E45)^12/100^11-100</f>
        <v>1.00459608871815</v>
      </c>
      <c r="J45" s="72" t="n">
        <v>100.9</v>
      </c>
      <c r="K45" s="66" t="n">
        <f aca="false">E45-J45</f>
        <v>-0.540000000000006</v>
      </c>
      <c r="L45" s="71" t="n">
        <v>108.77</v>
      </c>
      <c r="M45" s="25" t="n">
        <f aca="false">F45-L45</f>
        <v>-0.579999999999998</v>
      </c>
      <c r="N45" s="67" t="n">
        <v>100.36</v>
      </c>
      <c r="O45" s="70"/>
      <c r="P45" s="71" t="n">
        <v>100.25856668217</v>
      </c>
      <c r="Q45" s="71" t="n">
        <v>108.780661123967</v>
      </c>
      <c r="R45" s="14"/>
      <c r="S45" s="84"/>
      <c r="T45" s="63" t="n">
        <v>100.09</v>
      </c>
      <c r="U45" s="63" t="n">
        <v>100.44</v>
      </c>
      <c r="V45" s="63" t="n">
        <v>99.71</v>
      </c>
      <c r="W45" s="63" t="n">
        <v>99.62</v>
      </c>
      <c r="X45" s="63" t="n">
        <v>100.13</v>
      </c>
      <c r="Y45" s="63" t="n">
        <v>100.18</v>
      </c>
      <c r="Z45" s="63" t="n">
        <v>100.13</v>
      </c>
      <c r="AA45" s="63" t="n">
        <v>100.48</v>
      </c>
      <c r="AB45" s="63" t="n">
        <v>100.51</v>
      </c>
      <c r="AC45" s="63" t="n">
        <v>99.9</v>
      </c>
      <c r="AD45" s="63" t="n">
        <v>100.32</v>
      </c>
      <c r="AE45" s="63" t="n">
        <v>99.99</v>
      </c>
      <c r="AF45" s="63" t="n">
        <v>100.11</v>
      </c>
      <c r="AG45" s="63" t="n">
        <v>100.05</v>
      </c>
      <c r="AH45" s="63" t="n">
        <v>99.96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</row>
    <row r="46" customFormat="false" ht="16.4" hidden="false" customHeight="false" outlineLevel="0" collapsed="false">
      <c r="A46" s="35" t="n">
        <v>45870</v>
      </c>
      <c r="B46" s="34"/>
      <c r="C46" s="34" t="n">
        <v>0.1</v>
      </c>
      <c r="D46" s="34" t="n">
        <f aca="false">F46-100</f>
        <v>7.48</v>
      </c>
      <c r="E46" s="49" t="n">
        <v>99.43</v>
      </c>
      <c r="F46" s="34" t="n">
        <v>107.48</v>
      </c>
      <c r="G46" s="32" t="n">
        <v>99.93</v>
      </c>
      <c r="H46" s="32" t="n">
        <f aca="false">ROUND(PRODUCT(G35:G46)/100^11,2)</f>
        <v>107.68</v>
      </c>
      <c r="I46" s="34" t="n">
        <f aca="false">AVERAGE($E44:$E46)^12/100^11-100</f>
        <v>-0.995429374308358</v>
      </c>
      <c r="J46" s="72" t="n">
        <v>100.2</v>
      </c>
      <c r="K46" s="66" t="n">
        <f aca="false">E46-J46</f>
        <v>-0.769999999999996</v>
      </c>
      <c r="L46" s="71" t="n">
        <v>108.89</v>
      </c>
      <c r="M46" s="25" t="n">
        <f aca="false">F46-L46</f>
        <v>-1.41</v>
      </c>
      <c r="N46" s="67" t="n">
        <v>100.114016670171</v>
      </c>
      <c r="O46" s="67" t="n">
        <f aca="false">ROUND(PRODUCT(N35:N46)/100^11,2)</f>
        <v>108.21</v>
      </c>
      <c r="P46" s="71" t="n">
        <v>100.281978181756</v>
      </c>
      <c r="Q46" s="71" t="n">
        <v>108.978626802231</v>
      </c>
      <c r="R46" s="14"/>
      <c r="S46" s="84"/>
      <c r="T46" s="63" t="n">
        <v>99.96</v>
      </c>
      <c r="U46" s="63" t="n">
        <v>100.04</v>
      </c>
      <c r="V46" s="63" t="n">
        <v>99.64</v>
      </c>
      <c r="W46" s="63" t="n">
        <v>99.62</v>
      </c>
      <c r="X46" s="63" t="n">
        <v>99.99</v>
      </c>
      <c r="Y46" s="63" t="n">
        <v>99.98</v>
      </c>
      <c r="Z46" s="63" t="n">
        <v>100.05</v>
      </c>
      <c r="AA46" s="63" t="n">
        <v>100.04</v>
      </c>
      <c r="AB46" s="63" t="n">
        <v>100.19</v>
      </c>
      <c r="AC46" s="63" t="n">
        <v>99.92</v>
      </c>
      <c r="AD46" s="63" t="n">
        <v>100.99</v>
      </c>
      <c r="AE46" s="63" t="n">
        <v>100.1</v>
      </c>
      <c r="AF46" s="63" t="n">
        <v>99.95</v>
      </c>
      <c r="AG46" s="63" t="n">
        <v>99.81</v>
      </c>
      <c r="AH46" s="63" t="n">
        <v>100.15</v>
      </c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</row>
    <row r="47" customFormat="false" ht="16.4" hidden="false" customHeight="false" outlineLevel="0" collapsed="false">
      <c r="A47" s="33" t="n">
        <v>45901</v>
      </c>
      <c r="B47" s="34"/>
      <c r="C47" s="34" t="n">
        <f aca="false">E47-100</f>
        <v>1</v>
      </c>
      <c r="D47" s="34" t="n">
        <f aca="false">F47-100</f>
        <v>7.88</v>
      </c>
      <c r="E47" s="85" t="n">
        <v>101</v>
      </c>
      <c r="F47" s="34" t="n">
        <f aca="false">ROUND(PRODUCT(E36:E47)/100^11,2)</f>
        <v>107.88</v>
      </c>
      <c r="G47" s="32" t="n">
        <v>100.2</v>
      </c>
      <c r="H47" s="32" t="n">
        <f aca="false">ROUND(PRODUCT(G36:G47)/100^11,2)</f>
        <v>107.23</v>
      </c>
      <c r="I47" s="34" t="n">
        <f aca="false">AVERAGE($E45:$E47)^12/100^11-100</f>
        <v>3.20617145915737</v>
      </c>
      <c r="J47" s="72" t="n">
        <v>100.35</v>
      </c>
      <c r="K47" s="66" t="n">
        <f aca="false">E47-J47</f>
        <v>0.650000000000006</v>
      </c>
      <c r="L47" s="71" t="n">
        <v>108.6</v>
      </c>
      <c r="M47" s="25" t="n">
        <f aca="false">F47-L47</f>
        <v>-0.719999999999999</v>
      </c>
      <c r="N47" s="67" t="n">
        <v>100.756788069005</v>
      </c>
      <c r="O47" s="67" t="n">
        <f aca="false">ROUND(PRODUCT(N36:N47)/100^11,2)</f>
        <v>108.36</v>
      </c>
      <c r="P47" s="71" t="n">
        <v>100.870248768273</v>
      </c>
      <c r="Q47" s="71" t="n">
        <v>109.171859355846</v>
      </c>
      <c r="R47" s="14"/>
      <c r="S47" s="84"/>
      <c r="T47" s="63" t="n">
        <v>100.35</v>
      </c>
      <c r="U47" s="63" t="n">
        <v>100.41</v>
      </c>
      <c r="V47" s="63" t="n">
        <v>99.88</v>
      </c>
      <c r="W47" s="63" t="n">
        <v>100.2</v>
      </c>
      <c r="X47" s="63" t="n">
        <v>100.46</v>
      </c>
      <c r="Y47" s="63" t="n">
        <v>100.49</v>
      </c>
      <c r="Z47" s="63" t="n">
        <v>100.46</v>
      </c>
      <c r="AA47" s="63" t="n">
        <v>100.44</v>
      </c>
      <c r="AB47" s="63" t="n">
        <v>100.58</v>
      </c>
      <c r="AC47" s="63" t="n">
        <v>100.02</v>
      </c>
      <c r="AD47" s="63" t="n">
        <v>100.84</v>
      </c>
      <c r="AE47" s="63" t="n">
        <v>100.61</v>
      </c>
      <c r="AF47" s="63" t="n">
        <v>100.39</v>
      </c>
      <c r="AG47" s="63" t="n">
        <v>100.29</v>
      </c>
      <c r="AH47" s="63" t="n">
        <v>100.52</v>
      </c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</row>
    <row r="48" customFormat="false" ht="16.4" hidden="false" customHeight="false" outlineLevel="0" collapsed="false">
      <c r="A48" s="35" t="n">
        <v>45931</v>
      </c>
      <c r="B48" s="34"/>
      <c r="C48" s="34" t="n">
        <f aca="false">E48-100</f>
        <v>0.530000000000001</v>
      </c>
      <c r="D48" s="34" t="n">
        <f aca="false">F48-100</f>
        <v>7.36</v>
      </c>
      <c r="E48" s="86" t="n">
        <v>100.53</v>
      </c>
      <c r="F48" s="34" t="n">
        <f aca="false">ROUND(PRODUCT(E37:E48)/100^11,2)</f>
        <v>107.36</v>
      </c>
      <c r="G48" s="32" t="n">
        <v>100.48</v>
      </c>
      <c r="H48" s="32" t="n">
        <f aca="false">ROUND(PRODUCT(G37:G48)/100^11,2)</f>
        <v>106.65</v>
      </c>
      <c r="I48" s="34" t="n">
        <f aca="false">AVERAGE($E46:$E48)^12/100^11-100</f>
        <v>3.90831011312588</v>
      </c>
      <c r="J48" s="72" t="n">
        <v>100.58</v>
      </c>
      <c r="K48" s="66" t="n">
        <f aca="false">E48-J48</f>
        <v>-0.0499999999999972</v>
      </c>
      <c r="L48" s="71" t="n">
        <v>107.41</v>
      </c>
      <c r="M48" s="25" t="n">
        <f aca="false">F48-L48</f>
        <v>-0.0499999999999972</v>
      </c>
      <c r="N48" s="67" t="n">
        <v>100.779632860038</v>
      </c>
      <c r="O48" s="67" t="n">
        <f aca="false">ROUND(PRODUCT(N37:N48)/100^11,2)</f>
        <v>108.1</v>
      </c>
      <c r="P48" s="71" t="n">
        <v>100.931459775065</v>
      </c>
      <c r="Q48" s="71" t="n">
        <v>108.941867922613</v>
      </c>
      <c r="R48" s="14"/>
      <c r="S48" s="84"/>
      <c r="T48" s="63" t="n">
        <v>100.5</v>
      </c>
      <c r="U48" s="63" t="n">
        <v>100.57</v>
      </c>
      <c r="V48" s="63" t="n">
        <v>100.08</v>
      </c>
      <c r="W48" s="63" t="n">
        <v>100.42</v>
      </c>
      <c r="X48" s="63" t="n">
        <v>100.6</v>
      </c>
      <c r="Y48" s="63" t="n">
        <v>100.62</v>
      </c>
      <c r="Z48" s="63" t="n">
        <v>100.57</v>
      </c>
      <c r="AA48" s="63" t="n">
        <v>100.57</v>
      </c>
      <c r="AB48" s="63" t="n">
        <v>100.86</v>
      </c>
      <c r="AC48" s="63" t="n">
        <v>100.2</v>
      </c>
      <c r="AD48" s="63" t="n">
        <v>100.7</v>
      </c>
      <c r="AE48" s="63" t="n">
        <v>100.61</v>
      </c>
      <c r="AF48" s="63" t="n">
        <v>100.52</v>
      </c>
      <c r="AG48" s="63" t="n">
        <v>100.45</v>
      </c>
      <c r="AH48" s="63" t="n">
        <v>100.53</v>
      </c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</row>
    <row r="49" customFormat="false" ht="15" hidden="false" customHeight="true" outlineLevel="0" collapsed="false">
      <c r="A49" s="36" t="n">
        <v>45962</v>
      </c>
      <c r="B49" s="37"/>
      <c r="C49" s="34" t="n">
        <f aca="false">E49-100</f>
        <v>0.200000000000003</v>
      </c>
      <c r="D49" s="34" t="n">
        <f aca="false">F49-100</f>
        <v>5.98</v>
      </c>
      <c r="E49" s="87" t="n">
        <v>100.2</v>
      </c>
      <c r="F49" s="37" t="n">
        <f aca="false">ROUND(PRODUCT(E38:E49)/100^11,2)</f>
        <v>105.98</v>
      </c>
      <c r="G49" s="38" t="n">
        <v>100.35</v>
      </c>
      <c r="H49" s="38" t="n">
        <f aca="false">ROUND(PRODUCT(G38:G49)/100^11,2)</f>
        <v>105.45</v>
      </c>
      <c r="I49" s="37" t="n">
        <f aca="false">AVERAGE($E47:$E49)^12/100^11-100</f>
        <v>7.14375346230894</v>
      </c>
      <c r="J49" s="75" t="n">
        <v>100.55</v>
      </c>
      <c r="K49" s="66" t="n">
        <f aca="false">E49-J49</f>
        <v>-0.349999999999994</v>
      </c>
      <c r="L49" s="71" t="n">
        <v>106.41</v>
      </c>
      <c r="M49" s="25" t="n">
        <f aca="false">F49-L49</f>
        <v>-0.429999999999993</v>
      </c>
      <c r="N49" s="67" t="n">
        <v>101.020897853416</v>
      </c>
      <c r="O49" s="67" t="n">
        <f aca="false">ROUND(PRODUCT(N38:N49)/100^11,2)</f>
        <v>107.59</v>
      </c>
      <c r="P49" s="71" t="n">
        <v>101.018770205738</v>
      </c>
      <c r="Q49" s="71" t="n">
        <v>108.322543350202</v>
      </c>
      <c r="R49" s="14" t="s">
        <v>32</v>
      </c>
      <c r="S49" s="84"/>
      <c r="T49" s="61" t="n">
        <v>100.57</v>
      </c>
      <c r="U49" s="61" t="n">
        <v>100.63</v>
      </c>
      <c r="V49" s="61" t="n">
        <v>100.11</v>
      </c>
      <c r="W49" s="61" t="n">
        <v>100.43</v>
      </c>
      <c r="X49" s="61" t="n">
        <v>100.67</v>
      </c>
      <c r="Y49" s="61" t="n">
        <v>100.67</v>
      </c>
      <c r="Z49" s="61" t="n">
        <v>100.68</v>
      </c>
      <c r="AA49" s="61" t="n">
        <v>100.73</v>
      </c>
      <c r="AB49" s="61" t="n">
        <v>100.97</v>
      </c>
      <c r="AC49" s="61" t="n">
        <v>100.08</v>
      </c>
      <c r="AD49" s="61" t="n">
        <v>101.47</v>
      </c>
      <c r="AE49" s="61" t="n">
        <v>100.14</v>
      </c>
      <c r="AF49" s="61" t="n">
        <v>100.56</v>
      </c>
      <c r="AG49" s="61" t="n">
        <v>100.52</v>
      </c>
      <c r="AH49" s="61" t="n">
        <v>100.52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</row>
    <row r="50" customFormat="false" ht="15" hidden="false" customHeight="true" outlineLevel="0" collapsed="false">
      <c r="A50" s="39" t="n">
        <v>45992</v>
      </c>
      <c r="B50" s="40"/>
      <c r="C50" s="34" t="n">
        <f aca="false">E50-100</f>
        <v>0.650000000000006</v>
      </c>
      <c r="D50" s="34" t="n">
        <f aca="false">F50-100</f>
        <v>5.70999999999999</v>
      </c>
      <c r="E50" s="88" t="n">
        <v>100.65</v>
      </c>
      <c r="F50" s="40" t="n">
        <f aca="false">ROUND(PRODUCT(E39:E50)/100^11,2)</f>
        <v>105.71</v>
      </c>
      <c r="G50" s="42" t="n">
        <v>100.3</v>
      </c>
      <c r="H50" s="42" t="n">
        <f aca="false">ROUND(PRODUCT(G39:G50)/100^11,2)</f>
        <v>104.81</v>
      </c>
      <c r="I50" s="40" t="n">
        <f aca="false">AVERAGE($E48:$E50)^12/100^11-100</f>
        <v>5.66181971940868</v>
      </c>
      <c r="J50" s="76" t="n">
        <v>100.6</v>
      </c>
      <c r="K50" s="77" t="n">
        <f aca="false">E50-J50</f>
        <v>0.0500000000000114</v>
      </c>
      <c r="L50" s="89" t="n">
        <v>106.08</v>
      </c>
      <c r="M50" s="79" t="n">
        <f aca="false">F50-L50</f>
        <v>-0.370000000000005</v>
      </c>
      <c r="N50" s="80" t="n">
        <v>100.940717116917</v>
      </c>
      <c r="O50" s="80" t="n">
        <f aca="false">ROUND(PRODUCT(N39:N50)/100^11,2)</f>
        <v>107.63</v>
      </c>
      <c r="P50" s="78" t="n">
        <v>100.802399509549</v>
      </c>
      <c r="Q50" s="82" t="n">
        <v>108.279156471721</v>
      </c>
      <c r="R50" s="90" t="n">
        <v>106.2</v>
      </c>
      <c r="S50" s="84"/>
      <c r="T50" s="63" t="n">
        <v>100.62</v>
      </c>
      <c r="U50" s="63" t="n">
        <v>100.58</v>
      </c>
      <c r="V50" s="63" t="n">
        <v>100.14</v>
      </c>
      <c r="W50" s="63" t="n">
        <v>100.32</v>
      </c>
      <c r="X50" s="63" t="n">
        <v>100.71</v>
      </c>
      <c r="Y50" s="63" t="n">
        <v>100.8</v>
      </c>
      <c r="Z50" s="63" t="n">
        <v>100.41</v>
      </c>
      <c r="AA50" s="63" t="n">
        <v>100.67</v>
      </c>
      <c r="AB50" s="63" t="n">
        <v>101.06</v>
      </c>
      <c r="AC50" s="63" t="n">
        <v>100.63</v>
      </c>
      <c r="AD50" s="63" t="n">
        <v>103.44</v>
      </c>
      <c r="AE50" s="63" t="n">
        <v>100.39</v>
      </c>
      <c r="AF50" s="63" t="n">
        <v>100.6</v>
      </c>
      <c r="AG50" s="63" t="n">
        <v>100.59</v>
      </c>
      <c r="AH50" s="63" t="n">
        <v>100.71</v>
      </c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 t="n">
        <v>4</v>
      </c>
      <c r="BD50" s="14"/>
    </row>
    <row r="51" customFormat="false" ht="16.4" hidden="false" customHeight="false" outlineLevel="0" collapsed="false">
      <c r="A51" s="43" t="n">
        <v>46023</v>
      </c>
      <c r="B51" s="47"/>
      <c r="C51" s="34" t="n">
        <f aca="false">E51-100</f>
        <v>0.650000000000006</v>
      </c>
      <c r="D51" s="34" t="n">
        <f aca="false">F51-100</f>
        <v>5.51000000000001</v>
      </c>
      <c r="E51" s="44" t="n">
        <v>100.65</v>
      </c>
      <c r="F51" s="44" t="n">
        <f aca="false">ROUND(PRODUCT(E40:E51)/100^11,2)</f>
        <v>105.51</v>
      </c>
      <c r="G51" s="46" t="n">
        <v>100.516935880387</v>
      </c>
      <c r="H51" s="46" t="n">
        <f aca="false">ROUND(PRODUCT(G40:G51)/100^11,2)</f>
        <v>104.67</v>
      </c>
      <c r="I51" s="47"/>
      <c r="J51" s="83" t="n">
        <v>100.55</v>
      </c>
      <c r="L51" s="71" t="n">
        <v>105.77</v>
      </c>
      <c r="M51" s="54"/>
      <c r="N51" s="67" t="n">
        <v>100.855209222022</v>
      </c>
      <c r="O51" s="67" t="n">
        <f aca="false">ROUND(PRODUCT(N40:N51)/100^11,2)</f>
        <v>107.64</v>
      </c>
      <c r="P51" s="54" t="n">
        <v>100.920948083916</v>
      </c>
      <c r="Q51" s="54" t="n">
        <v>108.076023421228</v>
      </c>
      <c r="T51" s="63" t="n">
        <v>100.69</v>
      </c>
      <c r="U51" s="63" t="n">
        <v>100.49</v>
      </c>
      <c r="V51" s="63" t="n">
        <v>100.28</v>
      </c>
      <c r="W51" s="63" t="n">
        <v>100.31</v>
      </c>
      <c r="X51" s="63" t="n">
        <v>100.67</v>
      </c>
      <c r="Y51" s="63" t="n">
        <v>101.02</v>
      </c>
      <c r="Z51" s="63" t="n">
        <v>100.79</v>
      </c>
      <c r="AA51" s="63" t="n">
        <v>100.93</v>
      </c>
      <c r="AB51" s="63" t="n">
        <v>100.96</v>
      </c>
      <c r="AC51" s="63" t="n">
        <v>100.78</v>
      </c>
      <c r="AD51" s="63" t="n">
        <v>102.57</v>
      </c>
      <c r="AE51" s="63" t="n">
        <v>100.45</v>
      </c>
      <c r="AF51" s="63" t="n">
        <v>100.39</v>
      </c>
      <c r="AG51" s="63" t="n">
        <v>100.38</v>
      </c>
      <c r="AH51" s="63" t="n">
        <v>100.91</v>
      </c>
    </row>
    <row r="52" customFormat="false" ht="16.4" hidden="false" customHeight="false" outlineLevel="0" collapsed="false">
      <c r="A52" s="35" t="n">
        <v>46054</v>
      </c>
      <c r="B52" s="26"/>
      <c r="C52" s="34" t="n">
        <f aca="false">E52-100</f>
        <v>0.680000000000007</v>
      </c>
      <c r="D52" s="34" t="n">
        <f aca="false">F52-100</f>
        <v>4.81999999999999</v>
      </c>
      <c r="E52" s="34" t="n">
        <v>100.68</v>
      </c>
      <c r="F52" s="34" t="n">
        <f aca="false">ROUND(PRODUCT(E41:E52)/100^11,2)</f>
        <v>104.82</v>
      </c>
      <c r="G52" s="32" t="n">
        <v>100.43</v>
      </c>
      <c r="H52" s="32" t="n">
        <f aca="false">ROUND(PRODUCT(G41:G52)/100^11,2)</f>
        <v>104.6</v>
      </c>
      <c r="I52" s="26"/>
      <c r="J52" s="72" t="n">
        <v>100.5</v>
      </c>
      <c r="L52" s="71" t="n">
        <v>104.9</v>
      </c>
      <c r="M52" s="54"/>
      <c r="N52" s="67" t="n">
        <v>100.829352602509</v>
      </c>
      <c r="O52" s="67" t="n">
        <f aca="false">ROUND(PRODUCT(N41:N52)/100^11,2)</f>
        <v>107.1</v>
      </c>
      <c r="P52" s="54" t="n">
        <v>100.830753337566</v>
      </c>
      <c r="Q52" s="54" t="n">
        <v>107.760549070087</v>
      </c>
      <c r="T52" s="68" t="n">
        <v>100.75</v>
      </c>
      <c r="U52" s="68" t="n">
        <v>100.58</v>
      </c>
      <c r="V52" s="68" t="n">
        <v>100.3</v>
      </c>
      <c r="W52" s="68" t="n">
        <v>100.54</v>
      </c>
      <c r="X52" s="68" t="n">
        <v>100.72</v>
      </c>
      <c r="Y52" s="68" t="n">
        <v>100.88</v>
      </c>
      <c r="Z52" s="68" t="n">
        <v>100.76</v>
      </c>
      <c r="AA52" s="68" t="n">
        <v>100.89</v>
      </c>
      <c r="AB52" s="68" t="n">
        <v>101.04</v>
      </c>
      <c r="AC52" s="68" t="n">
        <v>100.85</v>
      </c>
      <c r="AD52" s="68" t="n">
        <v>100.57</v>
      </c>
      <c r="AE52" s="68" t="n">
        <v>100.75</v>
      </c>
      <c r="AF52" s="68" t="n">
        <v>100.62</v>
      </c>
      <c r="AG52" s="68" t="n">
        <v>100.62</v>
      </c>
      <c r="AH52" s="68" t="n">
        <v>100.82</v>
      </c>
    </row>
    <row r="53" customFormat="false" ht="16.4" hidden="false" customHeight="false" outlineLevel="0" collapsed="false">
      <c r="A53" s="33" t="n">
        <v>46082</v>
      </c>
      <c r="B53" s="26"/>
      <c r="C53" s="34" t="n">
        <f aca="false">E53-100</f>
        <v>0.484864700000003</v>
      </c>
      <c r="D53" s="34" t="n">
        <f aca="false">F53-100</f>
        <v>4.48</v>
      </c>
      <c r="E53" s="34" t="n">
        <v>100.4848647</v>
      </c>
      <c r="F53" s="34" t="n">
        <f aca="false">ROUND(PRODUCT(E42:E53)/100^11,2)</f>
        <v>104.48</v>
      </c>
      <c r="G53" s="26"/>
      <c r="H53" s="26"/>
      <c r="I53" s="26"/>
      <c r="J53" s="72" t="n">
        <v>100.4848647</v>
      </c>
      <c r="L53" s="71" t="n">
        <v>104.56</v>
      </c>
      <c r="M53" s="54"/>
      <c r="N53" s="67" t="n">
        <v>100.628600819217</v>
      </c>
      <c r="O53" s="67" t="n">
        <f aca="false">ROUND(PRODUCT(N42:N53)/100^11,2)</f>
        <v>106.91</v>
      </c>
      <c r="P53" s="54" t="n">
        <v>100.4848647</v>
      </c>
      <c r="Q53" s="54" t="n">
        <v>107.431409724619</v>
      </c>
      <c r="T53" s="68" t="n">
        <v>100.65</v>
      </c>
      <c r="U53" s="68" t="n">
        <v>100.71</v>
      </c>
      <c r="V53" s="68" t="n">
        <v>100.15</v>
      </c>
      <c r="W53" s="68" t="n">
        <v>100.44</v>
      </c>
      <c r="X53" s="68" t="n">
        <v>100.61</v>
      </c>
      <c r="Y53" s="68" t="n">
        <v>101.03</v>
      </c>
      <c r="Z53" s="68" t="n">
        <v>100.67</v>
      </c>
      <c r="AA53" s="68" t="n">
        <v>101.05</v>
      </c>
      <c r="AB53" s="68" t="n">
        <v>100.94</v>
      </c>
      <c r="AC53" s="68" t="n">
        <v>101.05</v>
      </c>
      <c r="AD53" s="68" t="n">
        <v>99.47</v>
      </c>
      <c r="AE53" s="68" t="n">
        <v>100.59</v>
      </c>
      <c r="AF53" s="68" t="n">
        <v>100.2</v>
      </c>
      <c r="AG53" s="68" t="n">
        <v>100.21</v>
      </c>
      <c r="AH53" s="68" t="n">
        <v>100.65</v>
      </c>
    </row>
    <row r="54" customFormat="false" ht="16.4" hidden="false" customHeight="false" outlineLevel="0" collapsed="false">
      <c r="A54" s="35" t="n">
        <v>46113</v>
      </c>
      <c r="B54" s="26"/>
      <c r="C54" s="34" t="n">
        <f aca="false">E54-100</f>
        <v>0.5</v>
      </c>
      <c r="D54" s="34" t="n">
        <f aca="false">F54-100</f>
        <v>4.45</v>
      </c>
      <c r="E54" s="34" t="n">
        <v>100.5</v>
      </c>
      <c r="F54" s="34" t="n">
        <f aca="false">ROUND(PRODUCT(E43:E54)/100^11,2)</f>
        <v>104.45</v>
      </c>
      <c r="G54" s="26"/>
      <c r="H54" s="26"/>
      <c r="I54" s="26"/>
      <c r="J54" s="72" t="n">
        <v>100.5</v>
      </c>
      <c r="L54" s="71" t="n">
        <v>104.53</v>
      </c>
      <c r="M54" s="54"/>
      <c r="N54" s="67" t="n">
        <v>100.589094135465</v>
      </c>
      <c r="O54" s="67" t="n">
        <f aca="false">ROUND(PRODUCT(N43:N54)/100^11,2)</f>
        <v>106.97</v>
      </c>
      <c r="P54" s="54" t="n">
        <v>100.6912874</v>
      </c>
      <c r="Q54" s="54" t="n">
        <v>107.364586645945</v>
      </c>
      <c r="T54" s="68" t="n">
        <v>100.72</v>
      </c>
      <c r="U54" s="68" t="n">
        <v>100.82</v>
      </c>
      <c r="V54" s="68" t="n">
        <v>100.21</v>
      </c>
      <c r="W54" s="68" t="n">
        <v>100.76</v>
      </c>
      <c r="X54" s="68" t="n">
        <v>100.74</v>
      </c>
      <c r="Y54" s="68" t="n">
        <v>100.94</v>
      </c>
      <c r="Z54" s="68" t="n">
        <v>100.71</v>
      </c>
      <c r="AA54" s="68" t="n">
        <v>100.92</v>
      </c>
      <c r="AB54" s="68" t="n">
        <v>101.05</v>
      </c>
      <c r="AC54" s="68" t="n">
        <v>100.73</v>
      </c>
      <c r="AD54" s="68" t="n">
        <v>99.69</v>
      </c>
      <c r="AE54" s="68" t="n">
        <v>100.64</v>
      </c>
      <c r="AF54" s="68" t="n">
        <v>100.48</v>
      </c>
      <c r="AG54" s="68" t="n">
        <v>100.49</v>
      </c>
      <c r="AH54" s="68" t="n">
        <v>100.8</v>
      </c>
    </row>
    <row r="55" customFormat="false" ht="16.4" hidden="false" customHeight="false" outlineLevel="0" collapsed="false">
      <c r="A55" s="33" t="n">
        <v>46143</v>
      </c>
      <c r="B55" s="51"/>
      <c r="C55" s="34" t="n">
        <f aca="false">E55-100</f>
        <v>0.280069699999999</v>
      </c>
      <c r="D55" s="34" t="n">
        <f aca="false">F55-100</f>
        <v>4.81999999999999</v>
      </c>
      <c r="E55" s="34" t="n">
        <v>100.2800697</v>
      </c>
      <c r="F55" s="34" t="n">
        <f aca="false">ROUND(PRODUCT(E44:E55)/100^11,2)</f>
        <v>104.82</v>
      </c>
      <c r="G55" s="51"/>
      <c r="H55" s="51"/>
      <c r="I55" s="51"/>
      <c r="J55" s="72" t="n">
        <v>100.2800697</v>
      </c>
      <c r="K55" s="91"/>
      <c r="L55" s="71" t="n">
        <v>104.89</v>
      </c>
      <c r="M55" s="92"/>
      <c r="N55" s="67" t="n">
        <v>100.233104664082</v>
      </c>
      <c r="O55" s="67" t="n">
        <f aca="false">ROUND(PRODUCT(N44:N55)/100^11,2)</f>
        <v>107.29</v>
      </c>
      <c r="P55" s="93" t="n">
        <v>100.2800697</v>
      </c>
      <c r="Q55" s="93" t="n">
        <v>107.167167669581</v>
      </c>
      <c r="R55" s="52"/>
      <c r="S55" s="52"/>
      <c r="T55" s="68" t="n">
        <v>100.48</v>
      </c>
      <c r="U55" s="68" t="n">
        <v>100.67</v>
      </c>
      <c r="V55" s="68" t="n">
        <v>99.98</v>
      </c>
      <c r="W55" s="68" t="n">
        <v>100.33</v>
      </c>
      <c r="X55" s="68" t="n">
        <v>100.47</v>
      </c>
      <c r="Y55" s="68" t="n">
        <v>100.48</v>
      </c>
      <c r="Z55" s="68" t="n">
        <v>100.44</v>
      </c>
      <c r="AA55" s="68" t="n">
        <v>100.42</v>
      </c>
      <c r="AB55" s="68" t="n">
        <v>100.76</v>
      </c>
      <c r="AC55" s="68" t="n">
        <v>100.81</v>
      </c>
      <c r="AD55" s="68" t="n">
        <v>99.75</v>
      </c>
      <c r="AE55" s="68" t="n">
        <v>100.34</v>
      </c>
      <c r="AF55" s="68" t="n">
        <v>100.39</v>
      </c>
      <c r="AG55" s="68" t="n">
        <v>100.4</v>
      </c>
      <c r="AH55" s="68" t="n">
        <v>100.59</v>
      </c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</row>
    <row r="56" customFormat="false" ht="14.25" hidden="false" customHeight="false" outlineLevel="0" collapsed="false">
      <c r="A56" s="35" t="n">
        <v>46174</v>
      </c>
      <c r="B56" s="26"/>
      <c r="C56" s="34" t="n">
        <f aca="false">E56-100</f>
        <v>0.0662650000000014</v>
      </c>
      <c r="D56" s="34" t="n">
        <f aca="false">F56-100</f>
        <v>4.93000000000001</v>
      </c>
      <c r="E56" s="34" t="n">
        <v>100.066265</v>
      </c>
      <c r="F56" s="34" t="n">
        <f aca="false">ROUND(PRODUCT(E45:E56)/100^11,2)</f>
        <v>104.93</v>
      </c>
      <c r="G56" s="26"/>
      <c r="H56" s="26"/>
      <c r="I56" s="26"/>
      <c r="J56" s="72" t="n">
        <v>100.066265</v>
      </c>
      <c r="K56" s="1"/>
      <c r="L56" s="71" t="n">
        <v>105</v>
      </c>
      <c r="M56" s="1"/>
      <c r="N56" s="67" t="n">
        <v>100.124160334806</v>
      </c>
      <c r="O56" s="67" t="n">
        <f aca="false">ROUND(PRODUCT(N45:N56)/100^11,2)</f>
        <v>107.47</v>
      </c>
      <c r="P56" s="54" t="n">
        <v>100.066265</v>
      </c>
      <c r="Q56" s="54" t="n">
        <v>106.909078792777</v>
      </c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BM56" s="95" t="n">
        <v>45505</v>
      </c>
      <c r="BN56" s="95" t="n">
        <v>45474</v>
      </c>
      <c r="BO56" s="95" t="n">
        <v>45444</v>
      </c>
      <c r="BP56" s="95" t="n">
        <v>45413</v>
      </c>
      <c r="BQ56" s="95" t="n">
        <v>45383</v>
      </c>
      <c r="BR56" s="95" t="n">
        <v>45352</v>
      </c>
      <c r="BS56" s="95" t="n">
        <v>45323</v>
      </c>
      <c r="BT56" s="95" t="n">
        <v>45292</v>
      </c>
      <c r="BU56" s="95" t="n">
        <v>45261</v>
      </c>
      <c r="BV56" s="95" t="n">
        <v>45231</v>
      </c>
      <c r="BW56" s="95" t="n">
        <v>45200</v>
      </c>
      <c r="BX56" s="95" t="n">
        <v>45170</v>
      </c>
      <c r="BY56" s="95" t="n">
        <v>45139</v>
      </c>
      <c r="BZ56" s="95" t="n">
        <v>45108</v>
      </c>
      <c r="CA56" s="95" t="n">
        <v>45078</v>
      </c>
      <c r="CB56" s="95" t="n">
        <v>45047</v>
      </c>
      <c r="CC56" s="95" t="n">
        <v>45017</v>
      </c>
    </row>
    <row r="57" customFormat="false" ht="16.4" hidden="false" customHeight="false" outlineLevel="0" collapsed="false">
      <c r="A57" s="33" t="n">
        <v>46204</v>
      </c>
      <c r="B57" s="53"/>
      <c r="C57" s="34" t="n">
        <f aca="false">E57-100</f>
        <v>0.400000000000006</v>
      </c>
      <c r="D57" s="34" t="n">
        <f aca="false">F57-100</f>
        <v>4.97</v>
      </c>
      <c r="E57" s="34" t="n">
        <v>100.4</v>
      </c>
      <c r="F57" s="34" t="n">
        <f aca="false">ROUND(PRODUCT(E46:E57)/100^11,2)</f>
        <v>104.97</v>
      </c>
      <c r="G57" s="53"/>
      <c r="H57" s="53"/>
      <c r="I57" s="53"/>
      <c r="J57" s="72" t="n">
        <v>100.6</v>
      </c>
      <c r="K57" s="1"/>
      <c r="L57" s="71" t="n">
        <v>105.26</v>
      </c>
      <c r="N57" s="67" t="n">
        <v>100.072609591253</v>
      </c>
      <c r="O57" s="67" t="n">
        <f aca="false">ROUND(PRODUCT(N46:N57)/100^11,2)</f>
        <v>107.16</v>
      </c>
      <c r="P57" s="54" t="n">
        <v>99.8613217</v>
      </c>
      <c r="Q57" s="54" t="n">
        <v>106.436079130794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BF57" s="96" t="s">
        <v>33</v>
      </c>
      <c r="BG57" s="96"/>
      <c r="BH57" s="96"/>
      <c r="BI57" s="96"/>
      <c r="BK57" s="1" t="s">
        <v>33</v>
      </c>
      <c r="BL57" s="1"/>
      <c r="BM57" s="54" t="n">
        <f aca="false">BF72+100</f>
        <v>100.94</v>
      </c>
      <c r="BN57" s="1" t="n">
        <v>101.07</v>
      </c>
      <c r="BO57" s="97" t="n">
        <v>100.18</v>
      </c>
      <c r="BP57" s="97" t="n">
        <v>100.94</v>
      </c>
      <c r="BQ57" s="23" t="n">
        <v>100.38</v>
      </c>
      <c r="BR57" s="98" t="n">
        <v>100.53</v>
      </c>
      <c r="BS57" s="1" t="n">
        <v>100.53</v>
      </c>
      <c r="BT57" s="1" t="n">
        <v>100.87</v>
      </c>
      <c r="BU57" s="1" t="n">
        <v>100.29</v>
      </c>
      <c r="BV57" s="1" t="n">
        <v>100.74</v>
      </c>
      <c r="BW57" s="1" t="n">
        <v>100.46</v>
      </c>
      <c r="BX57" s="1" t="n">
        <v>101.75</v>
      </c>
      <c r="BY57" s="1" t="n">
        <v>99.93</v>
      </c>
      <c r="BZ57" s="1" t="n">
        <v>100.5</v>
      </c>
      <c r="CA57" s="1" t="n">
        <v>100.43</v>
      </c>
      <c r="CB57" s="1" t="n">
        <v>99.75</v>
      </c>
      <c r="CC57" s="1" t="n">
        <v>100.72</v>
      </c>
    </row>
    <row r="58" customFormat="false" ht="16.4" hidden="false" customHeight="false" outlineLevel="0" collapsed="false">
      <c r="A58" s="35" t="n">
        <v>46235</v>
      </c>
      <c r="B58" s="53"/>
      <c r="C58" s="53"/>
      <c r="D58" s="53"/>
      <c r="E58" s="50" t="n">
        <v>99.8143646</v>
      </c>
      <c r="F58" s="34" t="n">
        <f aca="false">ROUND(PRODUCT(E47:E58)/100^11,2)</f>
        <v>105.38</v>
      </c>
      <c r="G58" s="53"/>
      <c r="H58" s="53"/>
      <c r="I58" s="53"/>
      <c r="J58" s="72" t="n">
        <v>99.8143646</v>
      </c>
      <c r="K58" s="1"/>
      <c r="L58" s="71" t="n">
        <v>105.66</v>
      </c>
      <c r="N58" s="67" t="n">
        <v>99.8143646</v>
      </c>
      <c r="O58" s="67" t="n">
        <f aca="false">ROUND(PRODUCT(N47:N58)/100^11,2)</f>
        <v>106.84</v>
      </c>
      <c r="P58" s="54" t="n">
        <v>99.8143646</v>
      </c>
      <c r="Q58" s="54" t="n">
        <v>105.950152872076</v>
      </c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BE58" s="99" t="n">
        <v>40299</v>
      </c>
      <c r="BF58" s="0" t="n">
        <v>0.64</v>
      </c>
      <c r="BG58" s="3"/>
      <c r="BH58" s="3"/>
      <c r="BI58" s="3"/>
      <c r="BK58" s="1" t="s">
        <v>34</v>
      </c>
      <c r="BL58" s="1"/>
      <c r="BM58" s="54" t="n">
        <f aca="false">AVERAGE(BM57:BO57)</f>
        <v>100.73</v>
      </c>
      <c r="BN58" s="54" t="n">
        <f aca="false">AVERAGE(BN57:BP57)</f>
        <v>100.73</v>
      </c>
      <c r="BO58" s="54" t="n">
        <f aca="false">AVERAGE(BO57:BQ57)</f>
        <v>100.5</v>
      </c>
      <c r="BP58" s="54" t="n">
        <f aca="false">AVERAGE(BP57:BR57)</f>
        <v>100.616666666667</v>
      </c>
      <c r="BQ58" s="54" t="n">
        <f aca="false">AVERAGE(BQ57:BS57)</f>
        <v>100.48</v>
      </c>
      <c r="BR58" s="54" t="n">
        <f aca="false">AVERAGE(BR57:BT57)</f>
        <v>100.643333333333</v>
      </c>
      <c r="BS58" s="54" t="n">
        <f aca="false">AVERAGE(BS57:BU57)</f>
        <v>100.563333333333</v>
      </c>
      <c r="BT58" s="54" t="n">
        <f aca="false">AVERAGE(BT57:BV57)</f>
        <v>100.633333333333</v>
      </c>
      <c r="BU58" s="54" t="n">
        <f aca="false">AVERAGE(BU57:BW57)</f>
        <v>100.496666666667</v>
      </c>
      <c r="BV58" s="54" t="n">
        <f aca="false">AVERAGE(BV57:BX57)</f>
        <v>100.983333333333</v>
      </c>
      <c r="BW58" s="54" t="n">
        <f aca="false">AVERAGE(BW57:BY57)</f>
        <v>100.713333333333</v>
      </c>
      <c r="BX58" s="54" t="n">
        <f aca="false">AVERAGE(BX57:BZ57)</f>
        <v>100.726666666667</v>
      </c>
      <c r="BY58" s="54" t="n">
        <f aca="false">AVERAGE(BY57:CA57)</f>
        <v>100.286666666667</v>
      </c>
      <c r="BZ58" s="54" t="n">
        <f aca="false">AVERAGE(BZ57:CB57)</f>
        <v>100.226666666667</v>
      </c>
      <c r="CA58" s="54" t="n">
        <f aca="false">AVERAGE(CA57:CC57)</f>
        <v>100.3</v>
      </c>
      <c r="CB58" s="1"/>
      <c r="CC58" s="1"/>
    </row>
    <row r="59" customFormat="false" ht="16.4" hidden="false" customHeight="false" outlineLevel="0" collapsed="false">
      <c r="A59" s="33" t="n">
        <v>46266</v>
      </c>
      <c r="B59" s="53"/>
      <c r="C59" s="53"/>
      <c r="D59" s="53"/>
      <c r="E59" s="50" t="n">
        <v>100.0715293</v>
      </c>
      <c r="F59" s="34" t="n">
        <f aca="false">ROUND(PRODUCT(E48:E59)/100^11,2)</f>
        <v>104.41</v>
      </c>
      <c r="G59" s="53"/>
      <c r="H59" s="53"/>
      <c r="I59" s="53"/>
      <c r="J59" s="72" t="n">
        <v>100.0715293</v>
      </c>
      <c r="K59" s="1"/>
      <c r="L59" s="71" t="n">
        <v>104.69</v>
      </c>
      <c r="N59" s="67" t="n">
        <v>100.0715293</v>
      </c>
      <c r="O59" s="67" t="n">
        <f aca="false">ROUND(PRODUCT(N48:N59)/100^11,2)</f>
        <v>106.12</v>
      </c>
      <c r="P59" s="54" t="n">
        <v>100.0715293</v>
      </c>
      <c r="Q59" s="54" t="n">
        <v>105.186120010224</v>
      </c>
      <c r="S59" s="94"/>
      <c r="T59" s="94"/>
      <c r="U59" s="94"/>
      <c r="V59" s="94"/>
      <c r="W59" s="94"/>
      <c r="X59" s="94" t="n">
        <f aca="false">100*(1+0.0036)^12</f>
        <v>104.40657079419</v>
      </c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BE59" s="99" t="n">
        <v>40664</v>
      </c>
      <c r="BF59" s="0" t="n">
        <v>0.31</v>
      </c>
      <c r="BG59" s="3"/>
      <c r="BH59" s="3"/>
      <c r="BI59" s="3"/>
      <c r="BK59" s="100" t="s">
        <v>35</v>
      </c>
      <c r="BL59" s="100"/>
      <c r="BM59" s="100"/>
      <c r="BN59" s="4" t="n">
        <f aca="false">AVERAGE(BN$57:BP$57)^12/100^11-100</f>
        <v>9.12041460123689</v>
      </c>
      <c r="BO59" s="4" t="n">
        <f aca="false">AVERAGE(BO$57:BQ$57)^12/100^11-100</f>
        <v>6.16778118644996</v>
      </c>
      <c r="BP59" s="4" t="n">
        <f aca="false">AVERAGE(BP$57:BR$57)^12/100^11-100</f>
        <v>7.65621472911278</v>
      </c>
      <c r="BQ59" s="4" t="n">
        <f aca="false">AVERAGE(BQ$57:BS$57)^12/100^11-100</f>
        <v>5.91452350359876</v>
      </c>
      <c r="BR59" s="4" t="n">
        <f aca="false">AVERAGE(BR$57:BT$57)^12/100^11-100</f>
        <v>7.99910275378316</v>
      </c>
      <c r="BS59" s="4" t="n">
        <f aca="false">AVERAGE(BS$57:BU$57)^12/100^11-100</f>
        <v>6.97343059130941</v>
      </c>
      <c r="BT59" s="4" t="n">
        <f aca="false">AVERAGE(BT$57:BV$57)^12/100^11-100</f>
        <v>7.87040260177953</v>
      </c>
      <c r="BU59" s="4" t="n">
        <f aca="false">AVERAGE(BU$57:BW$57)^12/100^11-100</f>
        <v>6.12553306065077</v>
      </c>
      <c r="BV59" s="4" t="n">
        <f aca="false">AVERAGE(BV$57:BX$57)^12/100^11-100</f>
        <v>12.4595717465677</v>
      </c>
      <c r="BW59" s="4" t="n">
        <f aca="false">AVERAGE(BW$57:BY$57)^12/100^11-100</f>
        <v>8.90395244059377</v>
      </c>
      <c r="BX59" s="4" t="n">
        <f aca="false">AVERAGE(BX$57:BZ$57)^12/100^11-100</f>
        <v>9.07709064358237</v>
      </c>
      <c r="BY59" s="4" t="n">
        <f aca="false">AVERAGE(BY$57:CA$57)^12/100^11-100</f>
        <v>3.49475895939679</v>
      </c>
      <c r="BZ59" s="4" t="n">
        <f aca="false">AVERAGE(BZ$57:CB$57)^12/100^11-100</f>
        <v>2.75416684857622</v>
      </c>
      <c r="CA59" s="4" t="n">
        <f aca="false">AVERAGE(CA$57:CC$57)^12/100^11-100</f>
        <v>3.65999802881309</v>
      </c>
      <c r="CB59" s="4" t="n">
        <f aca="false">AVERAGE(CB$57:CD$57)^12/100^11-100</f>
        <v>2.85673552859318</v>
      </c>
      <c r="CC59" s="4" t="n">
        <f aca="false">AVERAGE(CC$57:CE$57)^12/100^11-100</f>
        <v>8.99049002699438</v>
      </c>
    </row>
    <row r="60" customFormat="false" ht="14.25" hidden="false" customHeight="false" outlineLevel="0" collapsed="false">
      <c r="A60" s="35" t="n">
        <v>46296</v>
      </c>
      <c r="B60" s="26"/>
      <c r="C60" s="26"/>
      <c r="D60" s="26"/>
      <c r="E60" s="50" t="n">
        <v>100.3</v>
      </c>
      <c r="F60" s="34" t="n">
        <f aca="false">ROUND(PRODUCT(E49:E60)/100^11,2)</f>
        <v>104.17</v>
      </c>
      <c r="G60" s="26"/>
      <c r="H60" s="26"/>
      <c r="I60" s="26"/>
      <c r="J60" s="72" t="n">
        <v>100.3</v>
      </c>
      <c r="K60" s="1"/>
      <c r="L60" s="71" t="n">
        <v>104.4</v>
      </c>
      <c r="M60" s="1"/>
      <c r="N60" s="67" t="n">
        <v>100.4405103</v>
      </c>
      <c r="O60" s="67" t="n">
        <f aca="false">ROUND(PRODUCT(N49:N60)/100^11,2)</f>
        <v>105.76</v>
      </c>
      <c r="P60" s="54" t="n">
        <v>100.4405103</v>
      </c>
      <c r="Q60" s="54" t="n">
        <v>104.803520529043</v>
      </c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BE60" s="99" t="n">
        <v>41030</v>
      </c>
      <c r="BF60" s="0" t="n">
        <v>1.32</v>
      </c>
      <c r="BG60" s="3"/>
      <c r="BH60" s="3"/>
      <c r="BI60" s="3"/>
      <c r="BK60" s="1" t="s">
        <v>36</v>
      </c>
      <c r="BL60" s="1"/>
      <c r="BM60" s="1"/>
      <c r="BN60" s="1" t="n">
        <v>0.95</v>
      </c>
      <c r="BO60" s="1" t="n">
        <v>-0.04</v>
      </c>
      <c r="BP60" s="101" t="n">
        <v>0.41</v>
      </c>
      <c r="BQ60" s="101" t="n">
        <v>0.4</v>
      </c>
      <c r="BR60" s="1" t="n">
        <v>-0.16</v>
      </c>
      <c r="BS60" s="98" t="n">
        <v>0.13</v>
      </c>
      <c r="BT60" s="98" t="n">
        <v>0.23</v>
      </c>
      <c r="BU60" s="98" t="n">
        <v>0.11</v>
      </c>
      <c r="BV60" s="98" t="n">
        <v>0.24</v>
      </c>
      <c r="BW60" s="98" t="n">
        <v>0.21</v>
      </c>
      <c r="BX60" s="98" t="n">
        <v>1.49</v>
      </c>
      <c r="BY60" s="98" t="n">
        <v>0.76</v>
      </c>
      <c r="BZ60" s="98" t="n">
        <v>0.7</v>
      </c>
      <c r="CA60" s="98" t="n">
        <v>0.4</v>
      </c>
      <c r="CB60" s="98" t="n">
        <v>0.79</v>
      </c>
      <c r="CC60" s="98" t="n">
        <v>0.39</v>
      </c>
    </row>
    <row r="61" customFormat="false" ht="16.4" hidden="false" customHeight="false" outlineLevel="0" collapsed="false">
      <c r="A61" s="33" t="n">
        <v>46327</v>
      </c>
      <c r="B61" s="26"/>
      <c r="C61" s="26"/>
      <c r="D61" s="26"/>
      <c r="E61" s="50" t="n">
        <v>100.5</v>
      </c>
      <c r="F61" s="34" t="n">
        <f aca="false">ROUND(PRODUCT(E50:E61)/100^11,2)</f>
        <v>104.48</v>
      </c>
      <c r="G61" s="26"/>
      <c r="H61" s="26"/>
      <c r="I61" s="26"/>
      <c r="J61" s="72" t="n">
        <v>100.5</v>
      </c>
      <c r="K61" s="1"/>
      <c r="L61" s="71" t="n">
        <v>104.35</v>
      </c>
      <c r="M61" s="1"/>
      <c r="N61" s="67" t="n">
        <v>100.5965534</v>
      </c>
      <c r="O61" s="67" t="n">
        <f aca="false">ROUND(PRODUCT(N50:N61)/100^11,2)</f>
        <v>105.31</v>
      </c>
      <c r="P61" s="54" t="n">
        <v>100.5965534</v>
      </c>
      <c r="Q61" s="54" t="n">
        <v>104.464540828971</v>
      </c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BE61" s="99" t="n">
        <v>41395</v>
      </c>
      <c r="BF61" s="0" t="n">
        <v>1.44</v>
      </c>
      <c r="BG61" s="3"/>
      <c r="BH61" s="3"/>
      <c r="BI61" s="3"/>
      <c r="BK61" s="1" t="s">
        <v>37</v>
      </c>
      <c r="BL61" s="1"/>
      <c r="BM61" s="1"/>
      <c r="BN61" s="1" t="n">
        <v>0.01</v>
      </c>
      <c r="BO61" s="1" t="n">
        <v>0.28</v>
      </c>
      <c r="BP61" s="1" t="n">
        <v>1.58</v>
      </c>
      <c r="BQ61" s="1" t="n">
        <v>0.32</v>
      </c>
      <c r="BR61" s="1" t="n">
        <v>1.15</v>
      </c>
      <c r="BS61" s="98" t="n">
        <v>0.85</v>
      </c>
      <c r="BT61" s="98" t="n">
        <v>1.34</v>
      </c>
      <c r="BU61" s="98" t="n">
        <v>0.84</v>
      </c>
      <c r="BV61" s="98" t="n">
        <v>1.08</v>
      </c>
      <c r="BW61" s="98" t="n">
        <v>0.78</v>
      </c>
      <c r="BX61" s="98" t="n">
        <v>2.56</v>
      </c>
      <c r="BY61" s="98" t="n">
        <v>-0.94</v>
      </c>
      <c r="BZ61" s="98" t="n">
        <v>0.41</v>
      </c>
      <c r="CA61" s="98" t="n">
        <v>0.19</v>
      </c>
      <c r="CB61" s="98" t="n">
        <v>-1.47</v>
      </c>
      <c r="CC61" s="98" t="n">
        <v>1.33</v>
      </c>
    </row>
    <row r="62" customFormat="false" ht="16.4" hidden="false" customHeight="false" outlineLevel="0" collapsed="false">
      <c r="A62" s="35" t="n">
        <v>46357</v>
      </c>
      <c r="B62" s="26"/>
      <c r="C62" s="26"/>
      <c r="D62" s="26"/>
      <c r="E62" s="50" t="n">
        <v>100.4</v>
      </c>
      <c r="F62" s="34" t="n">
        <f aca="false">ROUND(PRODUCT(E51:E62)/100^11,2)</f>
        <v>104.22</v>
      </c>
      <c r="G62" s="26"/>
      <c r="H62" s="26"/>
      <c r="I62" s="26"/>
      <c r="J62" s="72" t="n">
        <v>100.4</v>
      </c>
      <c r="K62" s="1"/>
      <c r="L62" s="71" t="n">
        <v>104.14</v>
      </c>
      <c r="M62" s="1"/>
      <c r="N62" s="67" t="n">
        <v>100.4550992</v>
      </c>
      <c r="O62" s="67" t="n">
        <f aca="false">ROUND(PRODUCT(N51:N62)/100^11,2)</f>
        <v>104.81</v>
      </c>
      <c r="P62" s="54" t="n">
        <v>100.4550992</v>
      </c>
      <c r="Q62" s="54" t="n">
        <v>104.035285896482</v>
      </c>
      <c r="S62" s="94"/>
      <c r="T62" s="94"/>
      <c r="U62" s="94"/>
      <c r="V62" s="94" t="n">
        <v>0.39481</v>
      </c>
      <c r="W62" s="94" t="n">
        <v>0.36534</v>
      </c>
      <c r="X62" s="94" t="n">
        <v>0.23985</v>
      </c>
      <c r="Y62" s="94"/>
      <c r="Z62" s="94"/>
      <c r="AA62" s="102"/>
      <c r="AB62" s="94"/>
      <c r="AC62" s="94"/>
      <c r="AD62" s="94"/>
      <c r="AE62" s="94"/>
      <c r="AF62" s="94"/>
      <c r="AG62" s="94"/>
      <c r="AH62" s="94"/>
      <c r="BE62" s="99" t="n">
        <v>41760</v>
      </c>
      <c r="BF62" s="0" t="n">
        <v>0.65</v>
      </c>
      <c r="BG62" s="3"/>
      <c r="BH62" s="3"/>
      <c r="BI62" s="3"/>
      <c r="BK62" s="1" t="s">
        <v>38</v>
      </c>
      <c r="BL62" s="1"/>
      <c r="BM62" s="1"/>
      <c r="BN62" s="1" t="n">
        <v>3.01</v>
      </c>
      <c r="BO62" s="1" t="n">
        <v>0.35</v>
      </c>
      <c r="BP62" s="1" t="n">
        <v>0.69</v>
      </c>
      <c r="BQ62" s="1" t="n">
        <v>0.44</v>
      </c>
      <c r="BR62" s="1" t="n">
        <v>0.55</v>
      </c>
      <c r="BS62" s="98" t="n">
        <v>0.59</v>
      </c>
      <c r="BT62" s="98" t="n">
        <v>1.09</v>
      </c>
      <c r="BU62" s="98" t="n">
        <v>-0.35</v>
      </c>
      <c r="BV62" s="98" t="n">
        <v>0.91</v>
      </c>
      <c r="BW62" s="98" t="n">
        <v>0.3</v>
      </c>
      <c r="BX62" s="98" t="n">
        <v>0.84</v>
      </c>
      <c r="BY62" s="98" t="n">
        <v>0.12</v>
      </c>
      <c r="BZ62" s="98" t="n">
        <v>0.37</v>
      </c>
      <c r="CA62" s="98" t="n">
        <v>0.86</v>
      </c>
      <c r="CB62" s="98" t="n">
        <v>0.26</v>
      </c>
      <c r="CC62" s="98" t="n">
        <v>0.2</v>
      </c>
    </row>
    <row r="63" customFormat="false" ht="16.4" hidden="false" customHeight="false" outlineLevel="0" collapsed="false">
      <c r="U63" s="57" t="s">
        <v>39</v>
      </c>
      <c r="V63" s="57" t="s">
        <v>37</v>
      </c>
      <c r="W63" s="57" t="s">
        <v>36</v>
      </c>
      <c r="X63" s="57" t="s">
        <v>38</v>
      </c>
      <c r="AA63" s="103" t="n">
        <v>40452</v>
      </c>
      <c r="AB63" s="104" t="n">
        <v>0.92</v>
      </c>
      <c r="BE63" s="99" t="n">
        <v>42125</v>
      </c>
      <c r="BF63" s="0" t="n">
        <v>0.37</v>
      </c>
      <c r="BG63" s="3"/>
      <c r="BH63" s="3"/>
      <c r="BI63" s="3"/>
    </row>
    <row r="64" customFormat="false" ht="16.4" hidden="false" customHeight="false" outlineLevel="0" collapsed="false">
      <c r="E64" s="25"/>
      <c r="F64" s="25" t="n">
        <f aca="false">AVERAGE(F39:F50)</f>
        <v>108.330833333333</v>
      </c>
      <c r="K64" s="66"/>
      <c r="T64" s="103" t="n">
        <v>40452</v>
      </c>
      <c r="U64" s="104" t="n">
        <v>0.5</v>
      </c>
      <c r="V64" s="57" t="n">
        <v>5.61</v>
      </c>
      <c r="W64" s="57" t="n">
        <v>0.16</v>
      </c>
      <c r="X64" s="57" t="n">
        <v>-0.39</v>
      </c>
      <c r="AA64" s="95" t="n">
        <v>40817</v>
      </c>
      <c r="AB64" s="105" t="n">
        <v>0.46</v>
      </c>
      <c r="BE64" s="99" t="n">
        <v>42491</v>
      </c>
      <c r="BF64" s="0" t="n">
        <v>0.21</v>
      </c>
      <c r="BG64" s="3"/>
      <c r="BH64" s="3"/>
      <c r="BI64" s="3"/>
    </row>
    <row r="65" customFormat="false" ht="16.4" hidden="false" customHeight="false" outlineLevel="0" collapsed="false">
      <c r="T65" s="95" t="n">
        <v>40817</v>
      </c>
      <c r="U65" s="105" t="n">
        <v>0.33</v>
      </c>
      <c r="V65" s="57" t="n">
        <v>1.26</v>
      </c>
      <c r="W65" s="57" t="n">
        <v>0.95</v>
      </c>
      <c r="X65" s="57" t="n">
        <v>-0.35</v>
      </c>
      <c r="AA65" s="103" t="n">
        <v>41183</v>
      </c>
      <c r="AB65" s="104" t="n">
        <v>0.7</v>
      </c>
      <c r="BE65" s="99" t="n">
        <v>42856</v>
      </c>
      <c r="BF65" s="0" t="n">
        <v>0.46</v>
      </c>
      <c r="BG65" s="3"/>
      <c r="BH65" s="3"/>
      <c r="BI65" s="3"/>
    </row>
    <row r="66" customFormat="false" ht="16.4" hidden="false" customHeight="false" outlineLevel="0" collapsed="false">
      <c r="T66" s="103" t="n">
        <v>41183</v>
      </c>
      <c r="U66" s="104" t="n">
        <v>0.46</v>
      </c>
      <c r="V66" s="57" t="n">
        <v>0.24</v>
      </c>
      <c r="W66" s="57" t="n">
        <v>0.79</v>
      </c>
      <c r="X66" s="57" t="n">
        <v>0.15</v>
      </c>
      <c r="AA66" s="95" t="n">
        <v>41548</v>
      </c>
      <c r="AB66" s="105" t="n">
        <v>0.63</v>
      </c>
      <c r="BE66" s="99" t="n">
        <v>43221</v>
      </c>
      <c r="BF66" s="0" t="n">
        <v>0.09</v>
      </c>
      <c r="BG66" s="3"/>
      <c r="BH66" s="3"/>
      <c r="BI66" s="3"/>
    </row>
    <row r="67" customFormat="false" ht="16.4" hidden="false" customHeight="false" outlineLevel="0" collapsed="false">
      <c r="G67" s="14"/>
      <c r="H67" s="14"/>
      <c r="T67" s="95" t="n">
        <v>41548</v>
      </c>
      <c r="U67" s="105" t="n">
        <v>1.03</v>
      </c>
      <c r="V67" s="57" t="n">
        <v>0.01</v>
      </c>
      <c r="W67" s="57" t="n">
        <v>0.43</v>
      </c>
      <c r="X67" s="57" t="n">
        <v>0.02</v>
      </c>
      <c r="AA67" s="103" t="n">
        <v>41913</v>
      </c>
      <c r="AB67" s="104" t="n">
        <v>0.98</v>
      </c>
      <c r="BE67" s="99" t="n">
        <v>43586</v>
      </c>
      <c r="BF67" s="0" t="n">
        <v>0.53</v>
      </c>
      <c r="BG67" s="3"/>
      <c r="BH67" s="3"/>
      <c r="BI67" s="3"/>
    </row>
    <row r="68" customFormat="false" ht="16.4" hidden="false" customHeight="false" outlineLevel="0" collapsed="false">
      <c r="G68" s="14"/>
      <c r="H68" s="14"/>
      <c r="T68" s="103" t="n">
        <v>41913</v>
      </c>
      <c r="U68" s="104" t="n">
        <v>0.6</v>
      </c>
      <c r="V68" s="57" t="n">
        <v>1.76</v>
      </c>
      <c r="W68" s="57" t="n">
        <v>1.21</v>
      </c>
      <c r="X68" s="57" t="n">
        <v>0.25</v>
      </c>
      <c r="AA68" s="95" t="n">
        <v>42278</v>
      </c>
      <c r="AB68" s="105" t="n">
        <v>0.32</v>
      </c>
      <c r="BE68" s="99" t="n">
        <v>43952</v>
      </c>
      <c r="BF68" s="0" t="n">
        <v>0.12</v>
      </c>
      <c r="BG68" s="3"/>
      <c r="BH68" s="3"/>
      <c r="BI68" s="3"/>
    </row>
    <row r="69" customFormat="false" ht="16.4" hidden="false" customHeight="false" outlineLevel="0" collapsed="false">
      <c r="G69" s="14"/>
      <c r="H69" s="14"/>
      <c r="T69" s="95" t="n">
        <v>42278</v>
      </c>
      <c r="U69" s="105" t="n">
        <v>1.31</v>
      </c>
      <c r="V69" s="57" t="n">
        <v>0.99</v>
      </c>
      <c r="W69" s="57" t="n">
        <v>1.56</v>
      </c>
      <c r="X69" s="57" t="n">
        <v>0.06</v>
      </c>
      <c r="AA69" s="103" t="n">
        <v>42644</v>
      </c>
      <c r="AB69" s="104" t="n">
        <v>0.29</v>
      </c>
      <c r="BE69" s="99" t="n">
        <v>44317</v>
      </c>
      <c r="BF69" s="0" t="n">
        <v>0.41</v>
      </c>
      <c r="BG69" s="3"/>
      <c r="BH69" s="3"/>
      <c r="BI69" s="3"/>
    </row>
    <row r="70" customFormat="false" ht="16.4" hidden="false" customHeight="false" outlineLevel="0" collapsed="false">
      <c r="G70" s="14"/>
      <c r="H70" s="14"/>
      <c r="T70" s="103" t="n">
        <v>42644</v>
      </c>
      <c r="U70" s="104" t="n">
        <v>0.6</v>
      </c>
      <c r="V70" s="57" t="n">
        <v>-0.29</v>
      </c>
      <c r="W70" s="57" t="n">
        <v>0.73</v>
      </c>
      <c r="X70" s="57" t="n">
        <v>-1.3</v>
      </c>
      <c r="AA70" s="95" t="n">
        <v>43009</v>
      </c>
      <c r="AB70" s="105" t="n">
        <v>0.18</v>
      </c>
      <c r="BE70" s="99" t="n">
        <v>44682</v>
      </c>
      <c r="BF70" s="0" t="n">
        <v>0.68</v>
      </c>
      <c r="BG70" s="3" t="n">
        <f aca="false">BF70-0.5</f>
        <v>0.18</v>
      </c>
      <c r="BH70" s="3"/>
      <c r="BI70" s="3"/>
    </row>
    <row r="71" customFormat="false" ht="16.4" hidden="false" customHeight="false" outlineLevel="0" collapsed="false">
      <c r="G71" s="14"/>
      <c r="H71" s="14"/>
      <c r="T71" s="95" t="n">
        <v>43009</v>
      </c>
      <c r="U71" s="105" t="n">
        <v>0.16</v>
      </c>
      <c r="V71" s="57" t="n">
        <v>-0.15</v>
      </c>
      <c r="W71" s="57" t="n">
        <v>0.32</v>
      </c>
      <c r="X71" s="57" t="n">
        <v>-0.86</v>
      </c>
      <c r="AA71" s="103" t="n">
        <v>43374</v>
      </c>
      <c r="AB71" s="104" t="n">
        <v>0.87</v>
      </c>
      <c r="BE71" s="99" t="n">
        <v>45047</v>
      </c>
      <c r="BF71" s="0" t="n">
        <v>-0.25</v>
      </c>
      <c r="BG71" s="3" t="n">
        <f aca="false">BF71+0.5</f>
        <v>0.25</v>
      </c>
      <c r="BH71" s="3"/>
      <c r="BI71" s="3"/>
    </row>
    <row r="72" customFormat="false" ht="16.4" hidden="false" customHeight="false" outlineLevel="0" collapsed="false">
      <c r="G72" s="14"/>
      <c r="H72" s="14"/>
      <c r="T72" s="103" t="n">
        <v>43374</v>
      </c>
      <c r="U72" s="104" t="n">
        <v>0.09</v>
      </c>
      <c r="V72" s="57" t="n">
        <v>-0.41</v>
      </c>
      <c r="W72" s="57" t="n">
        <v>0.25</v>
      </c>
      <c r="X72" s="57" t="n">
        <v>-1</v>
      </c>
      <c r="AA72" s="95" t="n">
        <v>43739</v>
      </c>
      <c r="AB72" s="105" t="n">
        <v>0.39</v>
      </c>
      <c r="BE72" s="99" t="n">
        <v>45413</v>
      </c>
      <c r="BF72" s="0" t="n">
        <v>0.94</v>
      </c>
      <c r="BG72" s="3" t="n">
        <f aca="false">BF72-0.5</f>
        <v>0.44</v>
      </c>
      <c r="BH72" s="56"/>
      <c r="BI72" s="69"/>
    </row>
    <row r="73" customFormat="false" ht="16.4" hidden="false" customHeight="false" outlineLevel="0" collapsed="false">
      <c r="G73" s="14"/>
      <c r="H73" s="14"/>
      <c r="T73" s="95" t="n">
        <v>43739</v>
      </c>
      <c r="U73" s="105" t="n">
        <v>0.3</v>
      </c>
      <c r="V73" s="57" t="n">
        <v>-0.47</v>
      </c>
      <c r="W73" s="57" t="n">
        <v>0.33</v>
      </c>
      <c r="X73" s="57" t="n">
        <v>-1.02</v>
      </c>
      <c r="AA73" s="103" t="n">
        <v>44105</v>
      </c>
      <c r="AB73" s="104" t="n">
        <v>0.78</v>
      </c>
      <c r="BE73" s="99" t="n">
        <v>45778</v>
      </c>
      <c r="BF73" s="56" t="n">
        <f aca="false">E43-100</f>
        <v>-0.0699999999999932</v>
      </c>
      <c r="BG73" s="54"/>
      <c r="BH73" s="54"/>
      <c r="BI73" s="54"/>
    </row>
    <row r="74" customFormat="false" ht="16.4" hidden="false" customHeight="false" outlineLevel="0" collapsed="false">
      <c r="G74" s="14"/>
      <c r="H74" s="14"/>
      <c r="T74" s="103" t="n">
        <v>44105</v>
      </c>
      <c r="U74" s="104" t="n">
        <v>0.5</v>
      </c>
      <c r="V74" s="57" t="n">
        <v>0.05</v>
      </c>
      <c r="W74" s="57" t="n">
        <v>0.64</v>
      </c>
      <c r="X74" s="57" t="n">
        <v>-0.55</v>
      </c>
      <c r="AA74" s="95" t="n">
        <v>44470</v>
      </c>
      <c r="AB74" s="105" t="n">
        <v>0.86</v>
      </c>
      <c r="BE74" s="62" t="s">
        <v>40</v>
      </c>
      <c r="BF74" s="4" t="n">
        <f aca="false">MEDIAN(BF58:BF72)</f>
        <v>0.46</v>
      </c>
      <c r="BG74" s="4"/>
      <c r="BH74" s="4"/>
      <c r="BI74" s="4"/>
    </row>
    <row r="75" customFormat="false" ht="16.4" hidden="false" customHeight="false" outlineLevel="0" collapsed="false">
      <c r="G75" s="14"/>
      <c r="H75" s="14"/>
      <c r="S75" s="94"/>
      <c r="T75" s="95" t="n">
        <v>44470</v>
      </c>
      <c r="U75" s="105" t="n">
        <v>0.92</v>
      </c>
      <c r="V75" s="102" t="n">
        <v>1.73</v>
      </c>
      <c r="W75" s="102" t="n">
        <v>0.65</v>
      </c>
      <c r="X75" s="102" t="n">
        <v>-1.02</v>
      </c>
      <c r="Y75" s="94"/>
      <c r="Z75" s="94"/>
      <c r="AA75" s="103" t="n">
        <v>44835</v>
      </c>
      <c r="AB75" s="104" t="n">
        <v>0.26</v>
      </c>
      <c r="AC75" s="94"/>
      <c r="AD75" s="94"/>
      <c r="AE75" s="94"/>
      <c r="AF75" s="94"/>
      <c r="AG75" s="94"/>
      <c r="AH75" s="94"/>
      <c r="BE75" s="62" t="s">
        <v>41</v>
      </c>
      <c r="BF75" s="54" t="e">
        <f aca="false">AVERAGEIFS(BF58:BF72,BF58:BF72,"&lt;1,31")</f>
        <v>#DIV/0!</v>
      </c>
      <c r="BG75" s="54"/>
      <c r="BH75" s="54"/>
      <c r="BI75" s="54"/>
    </row>
    <row r="76" customFormat="false" ht="16.4" hidden="false" customHeight="false" outlineLevel="0" collapsed="false">
      <c r="G76" s="14"/>
      <c r="H76" s="14"/>
      <c r="S76" s="94"/>
      <c r="T76" s="103" t="n">
        <v>44835</v>
      </c>
      <c r="U76" s="104" t="n">
        <v>0.66</v>
      </c>
      <c r="V76" s="102" t="n">
        <v>-0.11</v>
      </c>
      <c r="W76" s="102" t="n">
        <v>0.93</v>
      </c>
      <c r="X76" s="102" t="n">
        <v>0.21</v>
      </c>
      <c r="Y76" s="94"/>
      <c r="Z76" s="94"/>
      <c r="AA76" s="95" t="n">
        <v>45200</v>
      </c>
      <c r="AB76" s="105" t="n">
        <v>0.74</v>
      </c>
      <c r="AC76" s="94"/>
      <c r="AD76" s="94"/>
      <c r="AE76" s="94"/>
      <c r="AF76" s="94"/>
      <c r="AG76" s="94"/>
      <c r="AH76" s="94"/>
      <c r="BE76" s="62" t="s">
        <v>42</v>
      </c>
      <c r="BF76" s="4" t="n">
        <f aca="false">_xlfn.VAR.S(BF58:BF72)</f>
        <v>0.202502857142857</v>
      </c>
      <c r="BG76" s="4"/>
      <c r="BH76" s="4"/>
      <c r="BI76" s="4"/>
    </row>
    <row r="77" customFormat="false" ht="16.4" hidden="false" customHeight="false" outlineLevel="0" collapsed="false">
      <c r="G77" s="14"/>
      <c r="H77" s="14"/>
      <c r="S77" s="94"/>
      <c r="T77" s="95" t="n">
        <v>45200</v>
      </c>
      <c r="U77" s="105" t="n">
        <v>0.46</v>
      </c>
      <c r="V77" s="102" t="n">
        <v>2.56</v>
      </c>
      <c r="W77" s="102" t="n">
        <v>1.49</v>
      </c>
      <c r="X77" s="102" t="n">
        <v>0.84</v>
      </c>
      <c r="Y77" s="94"/>
      <c r="Z77" s="94"/>
      <c r="AA77" s="103" t="n">
        <v>45566</v>
      </c>
      <c r="AB77" s="104" t="n">
        <v>1.5</v>
      </c>
      <c r="AC77" s="94"/>
      <c r="AD77" s="94"/>
      <c r="AE77" s="94"/>
      <c r="AF77" s="94"/>
      <c r="AG77" s="94"/>
      <c r="AH77" s="94"/>
    </row>
    <row r="78" customFormat="false" ht="16.4" hidden="false" customHeight="false" outlineLevel="0" collapsed="false">
      <c r="G78" s="14"/>
      <c r="H78" s="14"/>
      <c r="J78" s="14"/>
      <c r="S78" s="94"/>
      <c r="T78" s="103" t="n">
        <v>45566</v>
      </c>
      <c r="U78" s="104" t="n">
        <v>1.02</v>
      </c>
      <c r="V78" s="102" t="n">
        <v>0.39</v>
      </c>
      <c r="W78" s="102" t="n">
        <v>0.84</v>
      </c>
      <c r="X78" s="102" t="n">
        <v>0.66</v>
      </c>
      <c r="Y78" s="94"/>
      <c r="Z78" s="94"/>
      <c r="AA78" s="103" t="n">
        <v>45931</v>
      </c>
      <c r="AB78" s="57" t="n">
        <v>1.02</v>
      </c>
      <c r="AC78" s="94"/>
      <c r="AD78" s="94"/>
      <c r="AE78" s="94"/>
      <c r="AF78" s="94"/>
      <c r="AG78" s="94"/>
      <c r="AH78" s="94"/>
      <c r="BF78" s="96"/>
      <c r="BG78" s="96"/>
      <c r="BH78" s="96"/>
      <c r="BI78" s="96"/>
    </row>
    <row r="79" customFormat="false" ht="16.4" hidden="false" customHeight="false" outlineLevel="0" collapsed="false">
      <c r="S79" s="94"/>
      <c r="T79" s="103" t="n">
        <v>45931</v>
      </c>
      <c r="U79" s="57" t="n">
        <v>0.78</v>
      </c>
      <c r="V79" s="106" t="n">
        <v>99.95</v>
      </c>
      <c r="W79" s="106" t="n">
        <v>100.75</v>
      </c>
      <c r="X79" s="106" t="n">
        <v>100.36</v>
      </c>
      <c r="Y79" s="94"/>
      <c r="Z79" s="94"/>
      <c r="AA79" s="57" t="s">
        <v>40</v>
      </c>
      <c r="AB79" s="4" t="n">
        <f aca="false">MEDIAN(AB63:AB77)</f>
        <v>0.7</v>
      </c>
      <c r="AC79" s="94"/>
      <c r="AD79" s="94"/>
      <c r="AE79" s="94"/>
      <c r="AF79" s="94"/>
      <c r="AG79" s="94"/>
      <c r="AH79" s="94"/>
      <c r="BE79" s="99"/>
      <c r="BF79" s="23"/>
      <c r="BG79" s="3"/>
      <c r="BH79" s="3"/>
      <c r="BI79" s="3"/>
    </row>
    <row r="80" customFormat="false" ht="16.4" hidden="false" customHeight="false" outlineLevel="0" collapsed="false">
      <c r="S80" s="94"/>
      <c r="T80" s="57" t="s">
        <v>40</v>
      </c>
      <c r="U80" s="4" t="n">
        <f aca="false">MEDIAN(U64:U78)</f>
        <v>0.5</v>
      </c>
      <c r="V80" s="94"/>
      <c r="W80" s="94"/>
      <c r="X80" s="94"/>
      <c r="Y80" s="94"/>
      <c r="Z80" s="94"/>
      <c r="AA80" s="57" t="s">
        <v>41</v>
      </c>
      <c r="AB80" s="54" t="e">
        <f aca="false">AVERAGEIFS(AB63:AB77,AB63:AB77,"&lt;1,31")</f>
        <v>#DIV/0!</v>
      </c>
      <c r="AC80" s="94"/>
      <c r="AD80" s="94"/>
      <c r="AE80" s="94"/>
      <c r="AF80" s="94"/>
      <c r="AG80" s="94"/>
      <c r="AH80" s="94"/>
      <c r="BE80" s="99"/>
      <c r="BF80" s="23"/>
      <c r="BG80" s="3"/>
      <c r="BH80" s="3"/>
      <c r="BI80" s="3"/>
    </row>
    <row r="81" customFormat="false" ht="16.4" hidden="false" customHeight="false" outlineLevel="0" collapsed="false">
      <c r="S81" s="94"/>
      <c r="T81" s="57" t="s">
        <v>41</v>
      </c>
      <c r="U81" s="54" t="e">
        <f aca="false">AVERAGEIFS(U64:U78,U64:U78,"&lt;1,31")</f>
        <v>#DIV/0!</v>
      </c>
      <c r="V81" s="94"/>
      <c r="W81" s="94"/>
      <c r="X81" s="94"/>
      <c r="Y81" s="94"/>
      <c r="Z81" s="94"/>
      <c r="AA81" s="57" t="s">
        <v>42</v>
      </c>
      <c r="AB81" s="4" t="n">
        <f aca="false">_xlfn.VAR.S(AB63:AB77)</f>
        <v>0.124198095238095</v>
      </c>
      <c r="AC81" s="94"/>
      <c r="AD81" s="94"/>
      <c r="AE81" s="94"/>
      <c r="AF81" s="94"/>
      <c r="AG81" s="94"/>
      <c r="AH81" s="94"/>
      <c r="BE81" s="99"/>
      <c r="BF81" s="23"/>
      <c r="BG81" s="3"/>
      <c r="BH81" s="3"/>
      <c r="BI81" s="3"/>
    </row>
    <row r="82" customFormat="false" ht="16.4" hidden="false" customHeight="false" outlineLevel="0" collapsed="false">
      <c r="S82" s="94"/>
      <c r="T82" s="57" t="s">
        <v>42</v>
      </c>
      <c r="U82" s="4" t="n">
        <f aca="false">_xlfn.VAR.S(U64:U78)</f>
        <v>0.11764</v>
      </c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BE82" s="99" t="n">
        <v>40330</v>
      </c>
      <c r="BF82" s="104" t="n">
        <v>0.73</v>
      </c>
      <c r="BG82" s="3"/>
      <c r="BH82" s="3"/>
      <c r="BI82" s="3"/>
    </row>
    <row r="83" customFormat="false" ht="14.25" hidden="false" customHeight="false" outlineLevel="0" collapsed="false"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BE83" s="99" t="n">
        <v>40695</v>
      </c>
      <c r="BF83" s="105" t="n">
        <v>-0.61</v>
      </c>
      <c r="BG83" s="3"/>
      <c r="BH83" s="3"/>
      <c r="BI83" s="3"/>
    </row>
    <row r="84" customFormat="false" ht="16.4" hidden="false" customHeight="false" outlineLevel="0" collapsed="false">
      <c r="S84" s="94"/>
      <c r="T84" s="94"/>
      <c r="U84" s="94"/>
      <c r="V84" s="94"/>
      <c r="W84" s="94"/>
      <c r="X84" s="94" t="n">
        <v>100</v>
      </c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BE84" s="99" t="n">
        <v>41061</v>
      </c>
      <c r="BF84" s="104" t="n">
        <v>0.55</v>
      </c>
      <c r="BG84" s="3"/>
      <c r="BH84" s="3"/>
      <c r="BI84" s="3"/>
    </row>
    <row r="85" customFormat="false" ht="14.25" hidden="false" customHeight="false" outlineLevel="0" collapsed="false"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BE85" s="99" t="n">
        <v>41426</v>
      </c>
      <c r="BF85" s="105" t="n">
        <v>0.09</v>
      </c>
      <c r="BG85" s="3"/>
      <c r="BH85" s="3"/>
      <c r="BI85" s="3"/>
    </row>
    <row r="86" customFormat="false" ht="14.25" hidden="false" customHeight="false" outlineLevel="0" collapsed="false"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BE86" s="99" t="n">
        <v>41791</v>
      </c>
      <c r="BF86" s="104" t="n">
        <v>0.01</v>
      </c>
      <c r="BG86" s="3"/>
      <c r="BH86" s="3"/>
      <c r="BI86" s="3"/>
    </row>
    <row r="87" customFormat="false" ht="14.25" hidden="false" customHeight="false" outlineLevel="0" collapsed="false"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BE87" s="99" t="n">
        <v>42156</v>
      </c>
      <c r="BF87" s="105" t="n">
        <v>-0.28</v>
      </c>
      <c r="BG87" s="3"/>
      <c r="BH87" s="3"/>
      <c r="BI87" s="3"/>
    </row>
    <row r="88" customFormat="false" ht="14.25" hidden="false" customHeight="false" outlineLevel="0" collapsed="false"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BE88" s="99" t="n">
        <v>42522</v>
      </c>
      <c r="BF88" s="104" t="n">
        <v>0.24</v>
      </c>
      <c r="BG88" s="3"/>
      <c r="BH88" s="3"/>
      <c r="BI88" s="3"/>
    </row>
    <row r="89" customFormat="false" ht="14.25" hidden="false" customHeight="false" outlineLevel="0" collapsed="false"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BE89" s="99" t="n">
        <v>42887</v>
      </c>
      <c r="BF89" s="105" t="n">
        <v>0.58</v>
      </c>
      <c r="BG89" s="3"/>
      <c r="BH89" s="3"/>
      <c r="BI89" s="3"/>
    </row>
    <row r="90" customFormat="false" ht="14.25" hidden="false" customHeight="false" outlineLevel="0" collapsed="false">
      <c r="BE90" s="99" t="n">
        <v>43252</v>
      </c>
      <c r="BF90" s="104" t="n">
        <v>0.64</v>
      </c>
      <c r="BG90" s="3"/>
      <c r="BH90" s="3"/>
      <c r="BI90" s="3"/>
    </row>
    <row r="91" customFormat="false" ht="14.25" hidden="false" customHeight="false" outlineLevel="0" collapsed="false">
      <c r="BE91" s="99" t="n">
        <v>43617</v>
      </c>
      <c r="BF91" s="105" t="n">
        <v>-0.41</v>
      </c>
      <c r="BG91" s="3"/>
      <c r="BH91" s="3"/>
      <c r="BI91" s="3"/>
    </row>
    <row r="92" customFormat="false" ht="14.25" hidden="false" customHeight="false" outlineLevel="0" collapsed="false">
      <c r="BE92" s="99" t="n">
        <v>43983</v>
      </c>
      <c r="BF92" s="104" t="n">
        <v>0.01</v>
      </c>
      <c r="BG92" s="3"/>
      <c r="BH92" s="3"/>
      <c r="BI92" s="3"/>
    </row>
    <row r="93" customFormat="false" ht="14.25" hidden="false" customHeight="false" outlineLevel="0" collapsed="false">
      <c r="BE93" s="99" t="n">
        <v>44348</v>
      </c>
      <c r="BF93" s="105" t="n">
        <v>0.56</v>
      </c>
      <c r="BG93" s="69"/>
      <c r="BH93" s="69"/>
      <c r="BI93" s="69"/>
    </row>
    <row r="94" customFormat="false" ht="14.25" hidden="false" customHeight="false" outlineLevel="0" collapsed="false">
      <c r="BE94" s="99" t="n">
        <v>44713</v>
      </c>
      <c r="BF94" s="104" t="n">
        <v>-0.68</v>
      </c>
      <c r="BG94" s="54"/>
      <c r="BH94" s="54"/>
      <c r="BI94" s="54"/>
    </row>
    <row r="95" customFormat="false" ht="14.25" hidden="false" customHeight="false" outlineLevel="0" collapsed="false">
      <c r="BE95" s="99" t="n">
        <v>45078</v>
      </c>
      <c r="BF95" s="105" t="n">
        <v>0.43</v>
      </c>
      <c r="BG95" s="4"/>
      <c r="BH95" s="4"/>
      <c r="BI95" s="4"/>
    </row>
    <row r="96" customFormat="false" ht="14.25" hidden="false" customHeight="false" outlineLevel="0" collapsed="false">
      <c r="BE96" s="99" t="n">
        <v>45444</v>
      </c>
      <c r="BF96" s="104" t="n">
        <v>0.18</v>
      </c>
      <c r="BG96" s="54"/>
      <c r="BH96" s="54"/>
      <c r="BI96" s="54"/>
    </row>
    <row r="97" customFormat="false" ht="14.25" hidden="false" customHeight="false" outlineLevel="0" collapsed="false">
      <c r="BE97" s="99" t="n">
        <v>45809</v>
      </c>
      <c r="BF97" s="107" t="n">
        <f aca="false">E44-100</f>
        <v>-0.0400000000000063</v>
      </c>
      <c r="BG97" s="4"/>
      <c r="BH97" s="4"/>
      <c r="BI97" s="4"/>
    </row>
    <row r="98" customFormat="false" ht="14.25" hidden="false" customHeight="false" outlineLevel="0" collapsed="false">
      <c r="BE98" s="62" t="s">
        <v>40</v>
      </c>
      <c r="BF98" s="4" t="n">
        <f aca="false">MEDIAN(BF82:BF96)</f>
        <v>0.18</v>
      </c>
    </row>
    <row r="99" customFormat="false" ht="14.25" hidden="false" customHeight="false" outlineLevel="0" collapsed="false">
      <c r="BE99" s="62" t="s">
        <v>41</v>
      </c>
      <c r="BF99" s="54" t="e">
        <f aca="false">AVERAGEIFS(BF82:BF96,BF82:BF96,"&lt;1,31")</f>
        <v>#DIV/0!</v>
      </c>
    </row>
    <row r="100" customFormat="false" ht="14.25" hidden="false" customHeight="false" outlineLevel="0" collapsed="false">
      <c r="BE100" s="62" t="s">
        <v>42</v>
      </c>
      <c r="BF100" s="4" t="n">
        <f aca="false">_xlfn.VAR.S(BF82:BF96)</f>
        <v>0.212982857142857</v>
      </c>
    </row>
  </sheetData>
  <conditionalFormatting sqref="BM5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N57:CA5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N58:CA5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3:S24 T53:AH54 AI23:BB24">
    <cfRule type="colorScale" priority="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P23:P24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19"/>
  <sheetViews>
    <sheetView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pane xSplit="0" ySplit="1" topLeftCell="A150" activePane="bottomLeft" state="frozen"/>
      <selection pane="topLeft" activeCell="J1" activeCellId="0" sqref="J1"/>
      <selection pane="bottomLeft" activeCell="AB174" activeCellId="0" sqref="AB17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0.1"/>
    <col collapsed="false" customWidth="true" hidden="false" outlineLevel="0" max="4" min="4" style="58" width="9.09"/>
    <col collapsed="false" customWidth="true" hidden="false" outlineLevel="0" max="6" min="6" style="1" width="12.59"/>
    <col collapsed="false" customWidth="true" hidden="false" outlineLevel="0" max="7" min="7" style="0" width="20.29"/>
    <col collapsed="false" customWidth="true" hidden="false" outlineLevel="0" max="9" min="8" style="1" width="11.7"/>
    <col collapsed="false" customWidth="true" hidden="false" outlineLevel="0" max="10" min="10" style="1" width="12.7"/>
    <col collapsed="false" customWidth="true" hidden="false" outlineLevel="0" max="11" min="11" style="0" width="13.9"/>
    <col collapsed="false" customWidth="true" hidden="false" outlineLevel="0" max="13" min="13" style="0" width="9.09"/>
    <col collapsed="false" customWidth="true" hidden="false" outlineLevel="0" max="14" min="14" style="0" width="11.7"/>
    <col collapsed="false" customWidth="true" hidden="false" outlineLevel="0" max="32" min="15" style="0" width="10.7"/>
    <col collapsed="false" customWidth="true" hidden="false" outlineLevel="0" max="37" min="33" style="0" width="10.29"/>
  </cols>
  <sheetData>
    <row r="1" customFormat="false" ht="14.25" hidden="false" customHeight="false" outlineLevel="0" collapsed="false">
      <c r="A1" s="108" t="s">
        <v>43</v>
      </c>
      <c r="B1" s="108" t="s">
        <v>1</v>
      </c>
      <c r="C1" s="108" t="s">
        <v>44</v>
      </c>
      <c r="D1" s="58" t="s">
        <v>45</v>
      </c>
      <c r="E1" s="108" t="s">
        <v>2</v>
      </c>
      <c r="F1" s="108" t="s">
        <v>46</v>
      </c>
      <c r="G1" s="108" t="s">
        <v>47</v>
      </c>
      <c r="H1" s="108" t="s">
        <v>48</v>
      </c>
      <c r="I1" s="108" t="s">
        <v>49</v>
      </c>
      <c r="J1" s="108" t="s">
        <v>50</v>
      </c>
      <c r="K1" s="108" t="s">
        <v>51</v>
      </c>
    </row>
    <row r="2" customFormat="false" ht="14.25" hidden="false" customHeight="false" outlineLevel="0" collapsed="false">
      <c r="A2" s="109" t="n">
        <v>40148</v>
      </c>
      <c r="B2" s="108"/>
      <c r="C2" s="108"/>
      <c r="D2" s="58" t="n">
        <v>100</v>
      </c>
      <c r="E2" s="108"/>
      <c r="F2" s="110" t="n">
        <v>101.377359456923</v>
      </c>
      <c r="J2" s="111"/>
    </row>
    <row r="3" customFormat="false" ht="16.4" hidden="false" customHeight="false" outlineLevel="0" collapsed="false">
      <c r="A3" s="109" t="n">
        <v>40179</v>
      </c>
      <c r="B3" s="58" t="n">
        <v>1.49</v>
      </c>
      <c r="C3" s="4" t="n">
        <f aca="false">B3+100</f>
        <v>101.49</v>
      </c>
      <c r="D3" s="112" t="n">
        <f aca="false">C3*D2/100</f>
        <v>101.49</v>
      </c>
      <c r="E3" s="113" t="n">
        <v>108.84</v>
      </c>
      <c r="F3" s="110" t="n">
        <v>102.336237630703</v>
      </c>
      <c r="G3" s="4" t="n">
        <f aca="false">F3/F2*100</f>
        <v>100.945850413659</v>
      </c>
      <c r="H3" s="84"/>
      <c r="J3" s="111"/>
    </row>
    <row r="4" customFormat="false" ht="16.4" hidden="false" customHeight="false" outlineLevel="0" collapsed="false">
      <c r="A4" s="109" t="n">
        <v>40210</v>
      </c>
      <c r="B4" s="58" t="n">
        <v>1.2</v>
      </c>
      <c r="C4" s="4" t="n">
        <f aca="false">B4+100</f>
        <v>101.2</v>
      </c>
      <c r="D4" s="112" t="n">
        <f aca="false">C4*D3/100</f>
        <v>102.70788</v>
      </c>
      <c r="E4" s="113" t="n">
        <v>109.21</v>
      </c>
      <c r="F4" s="110" t="n">
        <v>103.077992848505</v>
      </c>
      <c r="G4" s="4" t="n">
        <f aca="false">F4/F3*100</f>
        <v>100.724821661393</v>
      </c>
      <c r="H4" s="84"/>
      <c r="J4" s="111"/>
    </row>
    <row r="5" customFormat="false" ht="16.4" hidden="false" customHeight="false" outlineLevel="0" collapsed="false">
      <c r="A5" s="109" t="n">
        <v>40238</v>
      </c>
      <c r="B5" s="58" t="n">
        <v>0.92</v>
      </c>
      <c r="C5" s="4" t="n">
        <f aca="false">B5+100</f>
        <v>100.92</v>
      </c>
      <c r="D5" s="112" t="n">
        <f aca="false">C5*D4/100</f>
        <v>103.652792496</v>
      </c>
      <c r="E5" s="113" t="n">
        <v>108.98</v>
      </c>
      <c r="F5" s="110" t="n">
        <v>103.551366450296</v>
      </c>
      <c r="G5" s="4" t="n">
        <f aca="false">F5/F4*100</f>
        <v>100.459238280364</v>
      </c>
      <c r="H5" s="84" t="n">
        <f aca="false">AVERAGE(G3:G5)^12/100^11-100</f>
        <v>8.86031967235169</v>
      </c>
      <c r="J5" s="111"/>
      <c r="K5" s="84"/>
    </row>
    <row r="6" customFormat="false" ht="16.4" hidden="false" customHeight="false" outlineLevel="0" collapsed="false">
      <c r="A6" s="109" t="n">
        <v>40269</v>
      </c>
      <c r="B6" s="58" t="n">
        <v>0.59</v>
      </c>
      <c r="C6" s="4" t="n">
        <f aca="false">B6+100</f>
        <v>100.59</v>
      </c>
      <c r="D6" s="112" t="n">
        <f aca="false">C6*D5/100</f>
        <v>104.264343971726</v>
      </c>
      <c r="E6" s="113" t="n">
        <v>108.04</v>
      </c>
      <c r="F6" s="110" t="n">
        <v>104.206090560222</v>
      </c>
      <c r="G6" s="4" t="n">
        <f aca="false">F6/F5*100</f>
        <v>100.632269889205</v>
      </c>
      <c r="H6" s="84" t="n">
        <f aca="false">AVERAGE(G4:G6)^12/100^11-100</f>
        <v>7.51219962439969</v>
      </c>
      <c r="J6" s="111"/>
      <c r="K6" s="84"/>
    </row>
    <row r="7" customFormat="false" ht="16.4" hidden="false" customHeight="false" outlineLevel="0" collapsed="false">
      <c r="A7" s="109" t="n">
        <v>40299</v>
      </c>
      <c r="B7" s="58" t="n">
        <v>0.64</v>
      </c>
      <c r="C7" s="4" t="n">
        <f aca="false">B7+100</f>
        <v>100.64</v>
      </c>
      <c r="D7" s="112" t="n">
        <f aca="false">C7*D6/100</f>
        <v>104.931635773145</v>
      </c>
      <c r="E7" s="113" t="n">
        <v>108.11</v>
      </c>
      <c r="F7" s="110" t="n">
        <v>105.438668726895</v>
      </c>
      <c r="G7" s="4" t="n">
        <f aca="false">F7/F6*100</f>
        <v>101.182827376065</v>
      </c>
      <c r="H7" s="84" t="n">
        <f aca="false">AVERAGE(G5:G7)^12/100^11-100</f>
        <v>9.48641752201409</v>
      </c>
      <c r="J7" s="111"/>
      <c r="K7" s="84"/>
    </row>
    <row r="8" customFormat="false" ht="16.4" hidden="false" customHeight="false" outlineLevel="0" collapsed="false">
      <c r="A8" s="109" t="n">
        <v>40330</v>
      </c>
      <c r="B8" s="58" t="n">
        <v>0.73</v>
      </c>
      <c r="C8" s="4" t="n">
        <f aca="false">B8+100</f>
        <v>100.73</v>
      </c>
      <c r="D8" s="112" t="n">
        <f aca="false">C8*D7/100</f>
        <v>105.697636714289</v>
      </c>
      <c r="E8" s="113" t="n">
        <v>107.36</v>
      </c>
      <c r="F8" s="110" t="n">
        <v>105.33044756948</v>
      </c>
      <c r="G8" s="4" t="n">
        <f aca="false">F8/F7*100</f>
        <v>99.8973610358309</v>
      </c>
      <c r="H8" s="84" t="n">
        <f aca="false">AVERAGE(G6:G8)^12/100^11-100</f>
        <v>7.06902906872139</v>
      </c>
      <c r="J8" s="111"/>
      <c r="K8" s="84"/>
    </row>
    <row r="9" customFormat="false" ht="16.4" hidden="false" customHeight="false" outlineLevel="0" collapsed="false">
      <c r="A9" s="109" t="n">
        <v>40360</v>
      </c>
      <c r="B9" s="58" t="n">
        <v>-0.49</v>
      </c>
      <c r="C9" s="4" t="n">
        <f aca="false">B9+100</f>
        <v>99.51</v>
      </c>
      <c r="D9" s="112" t="n">
        <f aca="false">C9*D8/100</f>
        <v>105.179718294389</v>
      </c>
      <c r="E9" s="113" t="n">
        <v>106.82</v>
      </c>
      <c r="F9" s="110" t="n">
        <v>106.425728232109</v>
      </c>
      <c r="G9" s="4" t="n">
        <f aca="false">F9/F8*100</f>
        <v>101.039851902183</v>
      </c>
      <c r="H9" s="84" t="n">
        <f aca="false">AVERAGE(G7:G9)^12/100^11-100</f>
        <v>8.81765208653242</v>
      </c>
      <c r="J9" s="111"/>
      <c r="K9" s="84"/>
    </row>
    <row r="10" customFormat="false" ht="16.4" hidden="false" customHeight="false" outlineLevel="0" collapsed="false">
      <c r="A10" s="109" t="n">
        <v>40391</v>
      </c>
      <c r="B10" s="58" t="n">
        <v>0.48</v>
      </c>
      <c r="C10" s="4" t="n">
        <f aca="false">B10+100</f>
        <v>100.48</v>
      </c>
      <c r="D10" s="112" t="n">
        <f aca="false">C10*D9/100</f>
        <v>105.684580942202</v>
      </c>
      <c r="E10" s="113" t="n">
        <v>106.83</v>
      </c>
      <c r="F10" s="110" t="n">
        <v>108.686824203488</v>
      </c>
      <c r="G10" s="4" t="n">
        <f aca="false">F10/F9*100</f>
        <v>102.124576461857</v>
      </c>
      <c r="H10" s="84" t="n">
        <f aca="false">AVERAGE(G8:G10)^12/100^11-100</f>
        <v>12.9585584076939</v>
      </c>
      <c r="J10" s="111"/>
      <c r="K10" s="84"/>
    </row>
    <row r="11" customFormat="false" ht="16.4" hidden="false" customHeight="false" outlineLevel="0" collapsed="false">
      <c r="A11" s="109" t="n">
        <v>40422</v>
      </c>
      <c r="B11" s="58" t="n">
        <v>2.29</v>
      </c>
      <c r="C11" s="4" t="n">
        <f aca="false">B11+100</f>
        <v>102.29</v>
      </c>
      <c r="D11" s="112" t="n">
        <f aca="false">C11*D10/100</f>
        <v>108.104757845779</v>
      </c>
      <c r="E11" s="113" t="n">
        <v>109.12</v>
      </c>
      <c r="F11" s="110" t="n">
        <v>109.240473444808</v>
      </c>
      <c r="G11" s="4" t="n">
        <f aca="false">F11/F10*100</f>
        <v>100.509398674014</v>
      </c>
      <c r="H11" s="84" t="n">
        <f aca="false">AVERAGE(G9:G11)^12/100^11-100</f>
        <v>15.7266270425414</v>
      </c>
      <c r="J11" s="111"/>
      <c r="K11" s="84"/>
    </row>
    <row r="12" customFormat="false" ht="16.4" hidden="false" customHeight="false" outlineLevel="0" collapsed="false">
      <c r="A12" s="109" t="n">
        <v>40452</v>
      </c>
      <c r="B12" s="58" t="n">
        <v>0.5</v>
      </c>
      <c r="C12" s="4" t="n">
        <f aca="false">B12+100</f>
        <v>100.5</v>
      </c>
      <c r="D12" s="112" t="n">
        <f aca="false">C12*D11/100</f>
        <v>108.645281635008</v>
      </c>
      <c r="E12" s="113" t="n">
        <v>109.47</v>
      </c>
      <c r="F12" s="110" t="n">
        <v>110.213589831538</v>
      </c>
      <c r="G12" s="4" t="n">
        <f aca="false">F12/F11*100</f>
        <v>100.89080205902</v>
      </c>
      <c r="H12" s="84" t="n">
        <f aca="false">AVERAGE(G10:G12)^12/100^11-100</f>
        <v>15.0468497540874</v>
      </c>
      <c r="J12" s="111"/>
      <c r="K12" s="84"/>
    </row>
    <row r="13" customFormat="false" ht="16.4" hidden="false" customHeight="false" outlineLevel="0" collapsed="false">
      <c r="A13" s="109" t="n">
        <v>40483</v>
      </c>
      <c r="B13" s="58" t="n">
        <v>0.92</v>
      </c>
      <c r="C13" s="4" t="n">
        <f aca="false">B13+100</f>
        <v>100.92</v>
      </c>
      <c r="D13" s="112" t="n">
        <f aca="false">C13*D12/100</f>
        <v>109.64481822605</v>
      </c>
      <c r="E13" s="113" t="n">
        <v>109.96</v>
      </c>
      <c r="F13" s="110" t="n">
        <v>111.622147870961</v>
      </c>
      <c r="G13" s="4" t="n">
        <f aca="false">F13/F12*100</f>
        <v>101.278025733102</v>
      </c>
      <c r="H13" s="84" t="n">
        <f aca="false">AVERAGE(G11:G13)^12/100^11-100</f>
        <v>11.2548903853771</v>
      </c>
      <c r="J13" s="111"/>
      <c r="K13" s="84"/>
    </row>
    <row r="14" customFormat="false" ht="16.4" hidden="false" customHeight="false" outlineLevel="0" collapsed="false">
      <c r="A14" s="109" t="n">
        <v>40513</v>
      </c>
      <c r="B14" s="58" t="n">
        <v>1.57</v>
      </c>
      <c r="C14" s="4" t="n">
        <f aca="false">B14+100</f>
        <v>101.57</v>
      </c>
      <c r="D14" s="112" t="n">
        <f aca="false">C14*D13/100</f>
        <v>111.366241872199</v>
      </c>
      <c r="E14" s="113" t="n">
        <v>111.36</v>
      </c>
      <c r="F14" s="110" t="n">
        <v>113.916401794773</v>
      </c>
      <c r="G14" s="4" t="n">
        <f aca="false">F14/F13*100</f>
        <v>102.055375180976</v>
      </c>
      <c r="H14" s="84" t="n">
        <f aca="false">AVERAGE(G12:G14)^12/100^11-100</f>
        <v>18.268771910107</v>
      </c>
      <c r="J14" s="111"/>
      <c r="K14" s="84"/>
    </row>
    <row r="15" customFormat="false" ht="16.4" hidden="false" customHeight="false" outlineLevel="0" collapsed="false">
      <c r="A15" s="109" t="n">
        <v>40544</v>
      </c>
      <c r="B15" s="58" t="n">
        <v>2.4</v>
      </c>
      <c r="C15" s="4" t="n">
        <f aca="false">B15+100</f>
        <v>102.4</v>
      </c>
      <c r="D15" s="112" t="n">
        <f aca="false">C15*D14/100</f>
        <v>114.039031677132</v>
      </c>
      <c r="E15" s="113" t="n">
        <v>112.36</v>
      </c>
      <c r="F15" s="110" t="n">
        <v>114.839552817094</v>
      </c>
      <c r="G15" s="4" t="n">
        <f aca="false">F15/F14*100</f>
        <v>100.810375861401</v>
      </c>
      <c r="H15" s="84" t="n">
        <f aca="false">AVERAGE(G13:G15)^12/100^11-100</f>
        <v>17.894123634388</v>
      </c>
      <c r="J15" s="111"/>
      <c r="K15" s="84"/>
    </row>
    <row r="16" customFormat="false" ht="16.4" hidden="false" customHeight="false" outlineLevel="0" collapsed="false">
      <c r="A16" s="109" t="n">
        <v>40575</v>
      </c>
      <c r="B16" s="58" t="n">
        <v>1.06</v>
      </c>
      <c r="C16" s="4" t="n">
        <f aca="false">B16+100</f>
        <v>101.06</v>
      </c>
      <c r="D16" s="112" t="n">
        <f aca="false">C16*D15/100</f>
        <v>115.247845412909</v>
      </c>
      <c r="E16" s="113" t="n">
        <v>112.21</v>
      </c>
      <c r="F16" s="110" t="n">
        <v>115.901626686182</v>
      </c>
      <c r="G16" s="4" t="n">
        <f aca="false">F16/F15*100</f>
        <v>100.924832815032</v>
      </c>
      <c r="H16" s="84" t="n">
        <f aca="false">AVERAGE(G14:G16)^12/100^11-100</f>
        <v>16.2616938604944</v>
      </c>
      <c r="J16" s="111"/>
      <c r="K16" s="84"/>
    </row>
    <row r="17" customFormat="false" ht="16.4" hidden="false" customHeight="false" outlineLevel="0" collapsed="false">
      <c r="A17" s="109" t="n">
        <v>40603</v>
      </c>
      <c r="B17" s="58" t="n">
        <v>1.12</v>
      </c>
      <c r="C17" s="4" t="n">
        <f aca="false">B17+100</f>
        <v>101.12</v>
      </c>
      <c r="D17" s="112" t="n">
        <f aca="false">C17*D16/100</f>
        <v>116.538621281534</v>
      </c>
      <c r="E17" s="113" t="n">
        <v>112.43</v>
      </c>
      <c r="F17" s="110" t="n">
        <v>116.433502031875</v>
      </c>
      <c r="G17" s="4" t="n">
        <f aca="false">F17/F16*100</f>
        <v>100.458902399302</v>
      </c>
      <c r="H17" s="84" t="n">
        <f aca="false">AVERAGE(G15:G17)^12/100^11-100</f>
        <v>9.13822998319257</v>
      </c>
      <c r="J17" s="111"/>
      <c r="K17" s="84"/>
    </row>
    <row r="18" customFormat="false" ht="16.4" hidden="false" customHeight="false" outlineLevel="0" collapsed="false">
      <c r="A18" s="109" t="n">
        <v>40634</v>
      </c>
      <c r="B18" s="58" t="n">
        <v>0.6</v>
      </c>
      <c r="C18" s="4" t="n">
        <f aca="false">B18+100</f>
        <v>100.6</v>
      </c>
      <c r="D18" s="112" t="n">
        <f aca="false">C18*D17/100</f>
        <v>117.237853009223</v>
      </c>
      <c r="E18" s="113" t="n">
        <v>112.45</v>
      </c>
      <c r="F18" s="110" t="n">
        <v>116.77930448707</v>
      </c>
      <c r="G18" s="4" t="n">
        <f aca="false">F18/F17*100</f>
        <v>100.296995666334</v>
      </c>
      <c r="H18" s="84" t="n">
        <f aca="false">AVERAGE(G16:G18)^12/100^11-100</f>
        <v>6.93399745304886</v>
      </c>
      <c r="J18" s="111"/>
      <c r="K18" s="84"/>
    </row>
    <row r="19" customFormat="false" ht="16.4" hidden="false" customHeight="false" outlineLevel="0" collapsed="false">
      <c r="A19" s="109" t="n">
        <v>40664</v>
      </c>
      <c r="B19" s="58" t="n">
        <v>0.31</v>
      </c>
      <c r="C19" s="4" t="n">
        <f aca="false">B19+100</f>
        <v>100.31</v>
      </c>
      <c r="D19" s="112" t="n">
        <f aca="false">C19*D18/100</f>
        <v>117.601290353552</v>
      </c>
      <c r="E19" s="113" t="n">
        <v>112.08</v>
      </c>
      <c r="F19" s="110" t="n">
        <v>116.592938581294</v>
      </c>
      <c r="G19" s="4" t="n">
        <f aca="false">F19/F18*100</f>
        <v>99.8404118721253</v>
      </c>
      <c r="H19" s="84" t="n">
        <f aca="false">AVERAGE(G17:G19)^12/100^11-100</f>
        <v>2.41148957194817</v>
      </c>
      <c r="J19" s="111"/>
      <c r="K19" s="84"/>
    </row>
    <row r="20" customFormat="false" ht="16.4" hidden="false" customHeight="false" outlineLevel="0" collapsed="false">
      <c r="A20" s="109" t="n">
        <v>40695</v>
      </c>
      <c r="B20" s="58" t="n">
        <v>-0.61</v>
      </c>
      <c r="C20" s="4" t="n">
        <f aca="false">B20+100</f>
        <v>99.39</v>
      </c>
      <c r="D20" s="112" t="n">
        <f aca="false">C20*D19/100</f>
        <v>116.883922482395</v>
      </c>
      <c r="E20" s="113" t="n">
        <v>110.59</v>
      </c>
      <c r="F20" s="110" t="n">
        <v>116.97036480331</v>
      </c>
      <c r="G20" s="4" t="n">
        <f aca="false">F20/F19*100</f>
        <v>100.323712762204</v>
      </c>
      <c r="H20" s="84" t="n">
        <f aca="false">AVERAGE(G18:G20)^12/100^11-100</f>
        <v>1.86015437964858</v>
      </c>
      <c r="J20" s="111"/>
      <c r="K20" s="84"/>
    </row>
    <row r="21" customFormat="false" ht="16.4" hidden="false" customHeight="false" outlineLevel="0" collapsed="false">
      <c r="A21" s="109" t="n">
        <v>40725</v>
      </c>
      <c r="B21" s="58" t="n">
        <v>-0.04</v>
      </c>
      <c r="C21" s="4" t="n">
        <f aca="false">B21+100</f>
        <v>99.96</v>
      </c>
      <c r="D21" s="112" t="n">
        <f aca="false">C21*D20/100</f>
        <v>116.837168913402</v>
      </c>
      <c r="E21" s="113" t="n">
        <v>111.1</v>
      </c>
      <c r="F21" s="110" t="n">
        <v>117.412993212659</v>
      </c>
      <c r="G21" s="4" t="n">
        <f aca="false">F21/F20*100</f>
        <v>100.378410728301</v>
      </c>
      <c r="H21" s="84" t="n">
        <f aca="false">AVERAGE(G19:G21)^12/100^11-100</f>
        <v>2.1918573733325</v>
      </c>
      <c r="J21" s="111"/>
      <c r="K21" s="84"/>
    </row>
    <row r="22" customFormat="false" ht="16.4" hidden="false" customHeight="false" outlineLevel="0" collapsed="false">
      <c r="A22" s="109" t="n">
        <v>40756</v>
      </c>
      <c r="B22" s="58" t="n">
        <v>-0.18</v>
      </c>
      <c r="C22" s="4" t="n">
        <f aca="false">B22+100</f>
        <v>99.82</v>
      </c>
      <c r="D22" s="112" t="n">
        <f aca="false">C22*D21/100</f>
        <v>116.626862009358</v>
      </c>
      <c r="E22" s="113" t="n">
        <v>110.37</v>
      </c>
      <c r="F22" s="110" t="n">
        <v>118.173407608148</v>
      </c>
      <c r="G22" s="4" t="n">
        <f aca="false">F22/F21*100</f>
        <v>100.647640754811</v>
      </c>
      <c r="H22" s="84" t="n">
        <f aca="false">AVERAGE(G20:G22)^12/100^11-100</f>
        <v>5.53468443651713</v>
      </c>
      <c r="J22" s="111"/>
      <c r="K22" s="84"/>
    </row>
    <row r="23" customFormat="false" ht="16.4" hidden="false" customHeight="false" outlineLevel="0" collapsed="false">
      <c r="A23" s="109" t="n">
        <v>40787</v>
      </c>
      <c r="B23" s="58" t="n">
        <v>0.78</v>
      </c>
      <c r="C23" s="4" t="n">
        <f aca="false">B23+100</f>
        <v>100.78</v>
      </c>
      <c r="D23" s="112" t="n">
        <f aca="false">C23*D22/100</f>
        <v>117.536551533031</v>
      </c>
      <c r="E23" s="113" t="n">
        <v>108.74</v>
      </c>
      <c r="F23" s="110" t="n">
        <v>118.561185419817</v>
      </c>
      <c r="G23" s="4" t="n">
        <f aca="false">F23/F22*100</f>
        <v>100.328143039553</v>
      </c>
      <c r="H23" s="84" t="n">
        <f aca="false">AVERAGE(G21:G23)^12/100^11-100</f>
        <v>5.5533040918552</v>
      </c>
      <c r="J23" s="111"/>
      <c r="K23" s="84"/>
    </row>
    <row r="24" customFormat="false" ht="16.4" hidden="false" customHeight="false" outlineLevel="0" collapsed="false">
      <c r="A24" s="109" t="n">
        <v>40817</v>
      </c>
      <c r="B24" s="58" t="n">
        <v>0.33</v>
      </c>
      <c r="C24" s="4" t="n">
        <f aca="false">B24+100</f>
        <v>100.33</v>
      </c>
      <c r="D24" s="112" t="n">
        <f aca="false">C24*D23/100</f>
        <v>117.92442215309</v>
      </c>
      <c r="E24" s="113" t="n">
        <v>108.56</v>
      </c>
      <c r="F24" s="110" t="n">
        <v>119.069175662722</v>
      </c>
      <c r="G24" s="4" t="n">
        <f aca="false">F24/F23*100</f>
        <v>100.428462520096</v>
      </c>
      <c r="H24" s="84" t="n">
        <f aca="false">AVERAGE(G22:G24)^12/100^11-100</f>
        <v>5.76387202305658</v>
      </c>
      <c r="J24" s="111"/>
      <c r="K24" s="84"/>
    </row>
    <row r="25" customFormat="false" ht="16.4" hidden="false" customHeight="false" outlineLevel="0" collapsed="false">
      <c r="A25" s="109" t="n">
        <v>40848</v>
      </c>
      <c r="B25" s="58" t="n">
        <v>0.46</v>
      </c>
      <c r="C25" s="4" t="n">
        <f aca="false">B25+100</f>
        <v>100.46</v>
      </c>
      <c r="D25" s="112" t="n">
        <f aca="false">C25*D24/100</f>
        <v>118.466874494994</v>
      </c>
      <c r="E25" s="113" t="n">
        <v>108.07</v>
      </c>
      <c r="F25" s="110" t="n">
        <v>119.116165071551</v>
      </c>
      <c r="G25" s="4" t="n">
        <f aca="false">F25/F24*100</f>
        <v>100.039463957458</v>
      </c>
      <c r="H25" s="84" t="n">
        <f aca="false">AVERAGE(G23:G25)^12/100^11-100</f>
        <v>3.23116488906226</v>
      </c>
      <c r="J25" s="111"/>
      <c r="K25" s="84"/>
    </row>
    <row r="26" customFormat="false" ht="16.4" hidden="false" customHeight="false" outlineLevel="0" collapsed="false">
      <c r="A26" s="109" t="n">
        <v>40878</v>
      </c>
      <c r="B26" s="58" t="n">
        <v>0.32</v>
      </c>
      <c r="C26" s="4" t="n">
        <f aca="false">B26+100</f>
        <v>100.32</v>
      </c>
      <c r="D26" s="112" t="n">
        <f aca="false">C26*D25/100</f>
        <v>118.845968493378</v>
      </c>
      <c r="E26" s="113" t="n">
        <v>106.74</v>
      </c>
      <c r="F26" s="110" t="n">
        <v>119.140203080323</v>
      </c>
      <c r="G26" s="4" t="n">
        <f aca="false">F26/F25*100</f>
        <v>100.020180307818</v>
      </c>
      <c r="H26" s="84" t="n">
        <f aca="false">AVERAGE(G24:G26)^12/100^11-100</f>
        <v>1.96999378171137</v>
      </c>
      <c r="J26" s="111"/>
      <c r="K26" s="84"/>
    </row>
    <row r="27" customFormat="false" ht="16.4" hidden="false" customHeight="false" outlineLevel="0" collapsed="false">
      <c r="A27" s="109" t="n">
        <v>40909</v>
      </c>
      <c r="B27" s="58" t="n">
        <v>0.33</v>
      </c>
      <c r="C27" s="4" t="n">
        <f aca="false">B27+100</f>
        <v>100.33</v>
      </c>
      <c r="D27" s="112" t="n">
        <f aca="false">C27*D26/100</f>
        <v>119.238160189406</v>
      </c>
      <c r="E27" s="113" t="n">
        <v>104.58</v>
      </c>
      <c r="F27" s="110" t="n">
        <v>120.069920920964</v>
      </c>
      <c r="G27" s="4" t="n">
        <f aca="false">F27/F26*100</f>
        <v>100.780356098616</v>
      </c>
      <c r="H27" s="84" t="n">
        <f aca="false">AVERAGE(G25:G27)^12/100^11-100</f>
        <v>3.41223150125367</v>
      </c>
      <c r="J27" s="111"/>
      <c r="K27" s="84"/>
    </row>
    <row r="28" customFormat="false" ht="16.4" hidden="false" customHeight="false" outlineLevel="0" collapsed="false">
      <c r="A28" s="109" t="n">
        <v>40940</v>
      </c>
      <c r="B28" s="58" t="n">
        <v>1.02</v>
      </c>
      <c r="C28" s="4" t="n">
        <f aca="false">B28+100</f>
        <v>101.02</v>
      </c>
      <c r="D28" s="112" t="n">
        <f aca="false">C28*D27/100</f>
        <v>120.454389423338</v>
      </c>
      <c r="E28" s="113" t="n">
        <v>104.53</v>
      </c>
      <c r="F28" s="110" t="n">
        <v>120.656457176234</v>
      </c>
      <c r="G28" s="4" t="n">
        <f aca="false">F28/F27*100</f>
        <v>100.488495578885</v>
      </c>
      <c r="H28" s="84" t="n">
        <f aca="false">AVERAGE(G26:G28)^12/100^11-100</f>
        <v>5.27974106978405</v>
      </c>
      <c r="J28" s="111"/>
      <c r="K28" s="84"/>
    </row>
    <row r="29" customFormat="false" ht="16.4" hidden="false" customHeight="false" outlineLevel="0" collapsed="false">
      <c r="A29" s="109" t="n">
        <v>40969</v>
      </c>
      <c r="B29" s="58" t="n">
        <v>0.68</v>
      </c>
      <c r="C29" s="4" t="n">
        <f aca="false">B29+100</f>
        <v>100.68</v>
      </c>
      <c r="D29" s="112" t="n">
        <f aca="false">C29*D28/100</f>
        <v>121.273479271417</v>
      </c>
      <c r="E29" s="113" t="n">
        <v>104.08</v>
      </c>
      <c r="F29" s="110" t="n">
        <v>120.971955251072</v>
      </c>
      <c r="G29" s="4" t="n">
        <f aca="false">F29/F28*100</f>
        <v>100.261484616921</v>
      </c>
      <c r="H29" s="84" t="n">
        <f aca="false">AVERAGE(G27:G29)^12/100^11-100</f>
        <v>6.29604068961261</v>
      </c>
      <c r="J29" s="111"/>
      <c r="K29" s="84"/>
    </row>
    <row r="30" customFormat="false" ht="16.4" hidden="false" customHeight="false" outlineLevel="0" collapsed="false">
      <c r="A30" s="109" t="n">
        <v>41000</v>
      </c>
      <c r="B30" s="58" t="n">
        <v>0.42</v>
      </c>
      <c r="C30" s="4" t="n">
        <f aca="false">B30+100</f>
        <v>100.42</v>
      </c>
      <c r="D30" s="112" t="n">
        <f aca="false">C30*D29/100</f>
        <v>121.782827884357</v>
      </c>
      <c r="E30" s="113" t="n">
        <v>103.89</v>
      </c>
      <c r="F30" s="110" t="n">
        <v>122.538364253939</v>
      </c>
      <c r="G30" s="4" t="n">
        <f aca="false">F30/F29*100</f>
        <v>101.294853009209</v>
      </c>
      <c r="H30" s="84" t="n">
        <f aca="false">AVERAGE(G28:G30)^12/100^11-100</f>
        <v>8.49303943480049</v>
      </c>
      <c r="J30" s="111"/>
      <c r="K30" s="84"/>
    </row>
    <row r="31" customFormat="false" ht="16.4" hidden="false" customHeight="false" outlineLevel="0" collapsed="false">
      <c r="A31" s="109" t="n">
        <v>41030</v>
      </c>
      <c r="B31" s="58" t="n">
        <v>1.32</v>
      </c>
      <c r="C31" s="4" t="n">
        <f aca="false">B31+100</f>
        <v>101.32</v>
      </c>
      <c r="D31" s="112" t="n">
        <f aca="false">C31*D30/100</f>
        <v>123.39036121243</v>
      </c>
      <c r="E31" s="113" t="n">
        <v>104.93</v>
      </c>
      <c r="F31" s="110" t="n">
        <v>123.758057872073</v>
      </c>
      <c r="G31" s="4" t="n">
        <f aca="false">F31/F30*100</f>
        <v>100.995356536347</v>
      </c>
      <c r="H31" s="84" t="n">
        <f aca="false">AVERAGE(G29:G31)^12/100^11-100</f>
        <v>10.6980608153005</v>
      </c>
      <c r="J31" s="111"/>
      <c r="K31" s="84"/>
    </row>
    <row r="32" customFormat="false" ht="16.4" hidden="false" customHeight="false" outlineLevel="0" collapsed="false">
      <c r="A32" s="109" t="n">
        <v>41061</v>
      </c>
      <c r="B32" s="58" t="n">
        <v>0.55</v>
      </c>
      <c r="C32" s="4" t="n">
        <f aca="false">B32+100</f>
        <v>100.55</v>
      </c>
      <c r="D32" s="112" t="n">
        <f aca="false">C32*D31/100</f>
        <v>124.069008199099</v>
      </c>
      <c r="E32" s="113" t="n">
        <v>106.15</v>
      </c>
      <c r="F32" s="110" t="n">
        <v>126.169998160195</v>
      </c>
      <c r="G32" s="4" t="n">
        <f aca="false">F32/F31*100</f>
        <v>101.948915755138</v>
      </c>
      <c r="H32" s="84" t="n">
        <f aca="false">AVERAGE(G30:G32)^12/100^11-100</f>
        <v>18.3384043010059</v>
      </c>
      <c r="J32" s="111"/>
      <c r="K32" s="84"/>
    </row>
    <row r="33" customFormat="false" ht="16.4" hidden="false" customHeight="false" outlineLevel="0" collapsed="false">
      <c r="A33" s="109" t="n">
        <v>41091</v>
      </c>
      <c r="B33" s="58" t="n">
        <v>1.61</v>
      </c>
      <c r="C33" s="4" t="n">
        <f aca="false">B33+100</f>
        <v>101.61</v>
      </c>
      <c r="D33" s="112" t="n">
        <f aca="false">C33*D32/100</f>
        <v>126.066519231104</v>
      </c>
      <c r="E33" s="113" t="n">
        <v>107.9</v>
      </c>
      <c r="F33" s="110" t="n">
        <v>126.976984874009</v>
      </c>
      <c r="G33" s="4" t="n">
        <f aca="false">F33/F32*100</f>
        <v>100.639602699201</v>
      </c>
      <c r="H33" s="84" t="n">
        <f aca="false">AVERAGE(G31:G33)^12/100^11-100</f>
        <v>15.3159401764365</v>
      </c>
      <c r="J33" s="111"/>
      <c r="K33" s="84"/>
    </row>
    <row r="34" customFormat="false" ht="16.4" hidden="false" customHeight="false" outlineLevel="0" collapsed="false">
      <c r="A34" s="109" t="n">
        <v>41122</v>
      </c>
      <c r="B34" s="58" t="n">
        <v>0.08</v>
      </c>
      <c r="C34" s="4" t="n">
        <f aca="false">B34+100</f>
        <v>100.08</v>
      </c>
      <c r="D34" s="112" t="n">
        <f aca="false">C34*D33/100</f>
        <v>126.167372446489</v>
      </c>
      <c r="E34" s="113" t="n">
        <v>108.18</v>
      </c>
      <c r="F34" s="110" t="n">
        <v>127.391656577379</v>
      </c>
      <c r="G34" s="4" t="n">
        <f aca="false">F34/F33*100</f>
        <v>100.326572334177</v>
      </c>
      <c r="H34" s="84" t="n">
        <f aca="false">AVERAGE(G32:G34)^12/100^11-100</f>
        <v>12.3041644056857</v>
      </c>
      <c r="J34" s="111"/>
      <c r="K34" s="84"/>
    </row>
    <row r="35" customFormat="false" ht="16.4" hidden="false" customHeight="false" outlineLevel="0" collapsed="false">
      <c r="A35" s="109" t="n">
        <v>41153</v>
      </c>
      <c r="B35" s="58" t="n">
        <v>0.42</v>
      </c>
      <c r="C35" s="4" t="n">
        <f aca="false">B35+100</f>
        <v>100.42</v>
      </c>
      <c r="D35" s="112" t="n">
        <f aca="false">C35*D34/100</f>
        <v>126.697275410764</v>
      </c>
      <c r="E35" s="113" t="n">
        <v>107.79</v>
      </c>
      <c r="F35" s="110" t="n">
        <v>127.953638479688</v>
      </c>
      <c r="G35" s="4" t="n">
        <f aca="false">F35/F34*100</f>
        <v>100.441144983437</v>
      </c>
      <c r="H35" s="84" t="n">
        <f aca="false">AVERAGE(G33:G35)^12/100^11-100</f>
        <v>5.77681563220878</v>
      </c>
      <c r="J35" s="111"/>
      <c r="K35" s="84"/>
    </row>
    <row r="36" customFormat="false" ht="16.4" hidden="false" customHeight="false" outlineLevel="0" collapsed="false">
      <c r="A36" s="109" t="n">
        <v>41183</v>
      </c>
      <c r="B36" s="58" t="n">
        <v>0.46</v>
      </c>
      <c r="C36" s="4" t="n">
        <f aca="false">B36+100</f>
        <v>100.46</v>
      </c>
      <c r="D36" s="112" t="n">
        <f aca="false">C36*D35/100</f>
        <v>127.280082877654</v>
      </c>
      <c r="E36" s="113" t="n">
        <v>107.93</v>
      </c>
      <c r="F36" s="110" t="n">
        <v>128.804892261993</v>
      </c>
      <c r="G36" s="4" t="n">
        <f aca="false">F36/F35*100</f>
        <v>100.665282982508</v>
      </c>
      <c r="H36" s="84" t="n">
        <f aca="false">AVERAGE(G34:G36)^12/100^11-100</f>
        <v>5.88501414051397</v>
      </c>
      <c r="J36" s="111"/>
      <c r="K36" s="84"/>
    </row>
    <row r="37" customFormat="false" ht="16.4" hidden="false" customHeight="false" outlineLevel="0" collapsed="false">
      <c r="A37" s="109" t="n">
        <v>41214</v>
      </c>
      <c r="B37" s="58" t="n">
        <v>0.7</v>
      </c>
      <c r="C37" s="4" t="n">
        <f aca="false">B37+100</f>
        <v>100.7</v>
      </c>
      <c r="D37" s="112" t="n">
        <f aca="false">C37*D36/100</f>
        <v>128.171043457797</v>
      </c>
      <c r="E37" s="113" t="n">
        <v>108.18</v>
      </c>
      <c r="F37" s="110" t="n">
        <v>129.520728204266</v>
      </c>
      <c r="G37" s="4" t="n">
        <f aca="false">F37/F36*100</f>
        <v>100.55575213775</v>
      </c>
      <c r="H37" s="84" t="n">
        <f aca="false">AVERAGE(G35:G37)^12/100^11-100</f>
        <v>6.85511785182646</v>
      </c>
      <c r="J37" s="111"/>
      <c r="K37" s="84"/>
    </row>
    <row r="38" customFormat="false" ht="16.4" hidden="false" customHeight="false" outlineLevel="0" collapsed="false">
      <c r="A38" s="109" t="n">
        <v>41244</v>
      </c>
      <c r="B38" s="58" t="n">
        <v>0.84</v>
      </c>
      <c r="C38" s="4" t="n">
        <f aca="false">B38+100</f>
        <v>100.84</v>
      </c>
      <c r="D38" s="112" t="n">
        <f aca="false">C38*D37/100</f>
        <v>129.247680222843</v>
      </c>
      <c r="E38" s="113" t="n">
        <v>108.75</v>
      </c>
      <c r="F38" s="110" t="n">
        <v>130.105497620703</v>
      </c>
      <c r="G38" s="4" t="n">
        <f aca="false">F38/F37*100</f>
        <v>100.451487128388</v>
      </c>
      <c r="H38" s="84" t="n">
        <f aca="false">AVERAGE(G36:G38)^12/100^11-100</f>
        <v>6.89908701715402</v>
      </c>
      <c r="J38" s="111"/>
      <c r="K38" s="84"/>
    </row>
    <row r="39" customFormat="false" ht="16.4" hidden="false" customHeight="false" outlineLevel="0" collapsed="false">
      <c r="A39" s="109" t="n">
        <v>41275</v>
      </c>
      <c r="B39" s="58" t="n">
        <v>0.74</v>
      </c>
      <c r="C39" s="4" t="n">
        <f aca="false">B39+100</f>
        <v>100.74</v>
      </c>
      <c r="D39" s="112" t="n">
        <f aca="false">C39*D38/100</f>
        <v>130.204113056492</v>
      </c>
      <c r="E39" s="113" t="n">
        <v>109.19</v>
      </c>
      <c r="F39" s="110" t="n">
        <v>130.474690817882</v>
      </c>
      <c r="G39" s="4" t="n">
        <f aca="false">F39/F38*100</f>
        <v>100.28376448646</v>
      </c>
      <c r="H39" s="84" t="n">
        <f aca="false">AVERAGE(G37:G39)^12/100^11-100</f>
        <v>5.28800932778282</v>
      </c>
      <c r="J39" s="111"/>
      <c r="K39" s="84"/>
    </row>
    <row r="40" customFormat="false" ht="16.4" hidden="false" customHeight="false" outlineLevel="0" collapsed="false">
      <c r="A40" s="109" t="n">
        <v>41306</v>
      </c>
      <c r="B40" s="58" t="n">
        <v>0.51</v>
      </c>
      <c r="C40" s="4" t="n">
        <f aca="false">B40+100</f>
        <v>100.51</v>
      </c>
      <c r="D40" s="112" t="n">
        <f aca="false">C40*D39/100</f>
        <v>130.86815403308</v>
      </c>
      <c r="E40" s="113" t="n">
        <v>108.64</v>
      </c>
      <c r="F40" s="110" t="n">
        <v>130.879124689466</v>
      </c>
      <c r="G40" s="4" t="n">
        <f aca="false">F40/F39*100</f>
        <v>100.309971128538</v>
      </c>
      <c r="H40" s="84" t="n">
        <f aca="false">AVERAGE(G38:G40)^12/100^11-100</f>
        <v>4.26194471808542</v>
      </c>
      <c r="J40" s="111"/>
      <c r="K40" s="84"/>
    </row>
    <row r="41" customFormat="false" ht="16.4" hidden="false" customHeight="false" outlineLevel="0" collapsed="false">
      <c r="A41" s="109" t="n">
        <v>41334</v>
      </c>
      <c r="B41" s="58" t="n">
        <v>0.5</v>
      </c>
      <c r="C41" s="4" t="n">
        <f aca="false">B41+100</f>
        <v>100.5</v>
      </c>
      <c r="D41" s="112" t="n">
        <f aca="false">C41*D40/100</f>
        <v>131.522494803245</v>
      </c>
      <c r="E41" s="113" t="n">
        <v>108.45</v>
      </c>
      <c r="F41" s="110" t="n">
        <v>132.275226618188</v>
      </c>
      <c r="G41" s="4" t="n">
        <f aca="false">F41/F40*100</f>
        <v>101.066710930436</v>
      </c>
      <c r="H41" s="84" t="n">
        <f aca="false">AVERAGE(G39:G41)^12/100^11-100</f>
        <v>6.84774932915792</v>
      </c>
      <c r="J41" s="111"/>
      <c r="K41" s="84"/>
    </row>
    <row r="42" customFormat="false" ht="16.4" hidden="false" customHeight="false" outlineLevel="0" collapsed="false">
      <c r="A42" s="109" t="n">
        <v>41365</v>
      </c>
      <c r="B42" s="58" t="n">
        <v>1.25</v>
      </c>
      <c r="C42" s="4" t="n">
        <f aca="false">B42+100</f>
        <v>101.25</v>
      </c>
      <c r="D42" s="112" t="n">
        <f aca="false">C42*D41/100</f>
        <v>133.166525988286</v>
      </c>
      <c r="E42" s="113" t="n">
        <v>109.34</v>
      </c>
      <c r="F42" s="110" t="n">
        <v>134.151951431772</v>
      </c>
      <c r="G42" s="4" t="n">
        <f aca="false">F42/F41*100</f>
        <v>101.418802947132</v>
      </c>
      <c r="H42" s="84" t="n">
        <f aca="false">AVERAGE(G40:G42)^12/100^11-100</f>
        <v>11.7731999534925</v>
      </c>
      <c r="J42" s="111"/>
      <c r="K42" s="84"/>
    </row>
    <row r="43" customFormat="false" ht="16.4" hidden="false" customHeight="false" outlineLevel="0" collapsed="false">
      <c r="A43" s="109" t="n">
        <v>41395</v>
      </c>
      <c r="B43" s="58" t="n">
        <v>1.44</v>
      </c>
      <c r="C43" s="4" t="n">
        <f aca="false">B43+100</f>
        <v>101.44</v>
      </c>
      <c r="D43" s="112" t="n">
        <f aca="false">C43*D42/100</f>
        <v>135.084123962517</v>
      </c>
      <c r="E43" s="113" t="n">
        <v>109.47</v>
      </c>
      <c r="F43" s="110" t="n">
        <v>134.862948415173</v>
      </c>
      <c r="G43" s="4" t="n">
        <f aca="false">F43/F42*100</f>
        <v>100.529993768866</v>
      </c>
      <c r="H43" s="84" t="n">
        <f aca="false">AVERAGE(G41:G43)^12/100^11-100</f>
        <v>12.7517280583606</v>
      </c>
      <c r="J43" s="111"/>
      <c r="K43" s="84"/>
    </row>
    <row r="44" customFormat="false" ht="16.4" hidden="false" customHeight="false" outlineLevel="0" collapsed="false">
      <c r="A44" s="109" t="n">
        <v>41426</v>
      </c>
      <c r="B44" s="58" t="n">
        <v>0.09</v>
      </c>
      <c r="C44" s="4" t="n">
        <f aca="false">B44+100</f>
        <v>100.09</v>
      </c>
      <c r="D44" s="112" t="n">
        <f aca="false">C44*D43/100</f>
        <v>135.205699674084</v>
      </c>
      <c r="E44" s="113" t="n">
        <v>108.97</v>
      </c>
      <c r="F44" s="110" t="n">
        <v>136.094837744436</v>
      </c>
      <c r="G44" s="4" t="n">
        <f aca="false">F44/F43*100</f>
        <v>100.91343793365</v>
      </c>
      <c r="H44" s="84" t="n">
        <f aca="false">AVERAGE(G42:G44)^12/100^11-100</f>
        <v>12.0692363522208</v>
      </c>
      <c r="J44" s="111"/>
      <c r="K44" s="84"/>
    </row>
    <row r="45" customFormat="false" ht="16.4" hidden="false" customHeight="false" outlineLevel="0" collapsed="false">
      <c r="A45" s="109" t="n">
        <v>41456</v>
      </c>
      <c r="B45" s="58" t="n">
        <v>0.58</v>
      </c>
      <c r="C45" s="4" t="n">
        <f aca="false">B45+100</f>
        <v>100.58</v>
      </c>
      <c r="D45" s="112" t="n">
        <f aca="false">C45*D44/100</f>
        <v>135.989892732193</v>
      </c>
      <c r="E45" s="113" t="n">
        <v>107.87</v>
      </c>
      <c r="F45" s="110" t="n">
        <v>136.33298386876</v>
      </c>
      <c r="G45" s="4" t="n">
        <f aca="false">F45/F44*100</f>
        <v>100.17498542066</v>
      </c>
      <c r="H45" s="84" t="n">
        <f aca="false">AVERAGE(G43:G45)^12/100^11-100</f>
        <v>6.66924493839625</v>
      </c>
      <c r="J45" s="111"/>
      <c r="K45" s="84"/>
    </row>
    <row r="46" customFormat="false" ht="16.4" hidden="false" customHeight="false" outlineLevel="0" collapsed="false">
      <c r="A46" s="109" t="n">
        <v>41487</v>
      </c>
      <c r="B46" s="58" t="n">
        <v>-0.38</v>
      </c>
      <c r="C46" s="4" t="n">
        <f aca="false">B46+100</f>
        <v>99.62</v>
      </c>
      <c r="D46" s="112" t="n">
        <f aca="false">C46*D45/100</f>
        <v>135.473131139811</v>
      </c>
      <c r="E46" s="113" t="n">
        <v>107.38</v>
      </c>
      <c r="F46" s="110" t="n">
        <v>136.475585417895</v>
      </c>
      <c r="G46" s="4" t="n">
        <f aca="false">F46/F45*100</f>
        <v>100.104597981419</v>
      </c>
      <c r="H46" s="84" t="n">
        <f aca="false">AVERAGE(G44:G46)^12/100^11-100</f>
        <v>4.87785670606981</v>
      </c>
      <c r="J46" s="111"/>
      <c r="K46" s="84"/>
    </row>
    <row r="47" customFormat="false" ht="16.4" hidden="false" customHeight="false" outlineLevel="0" collapsed="false">
      <c r="A47" s="109" t="n">
        <v>41518</v>
      </c>
      <c r="B47" s="58" t="n">
        <v>0.17</v>
      </c>
      <c r="C47" s="4" t="n">
        <f aca="false">B47+100</f>
        <v>100.17</v>
      </c>
      <c r="D47" s="112" t="n">
        <f aca="false">C47*D46/100</f>
        <v>135.703435462749</v>
      </c>
      <c r="E47" s="113" t="n">
        <v>107.11</v>
      </c>
      <c r="F47" s="110" t="n">
        <v>137.825117491303</v>
      </c>
      <c r="G47" s="4" t="n">
        <f aca="false">F47/F46*100</f>
        <v>100.988845051865</v>
      </c>
      <c r="H47" s="84" t="n">
        <f aca="false">AVERAGE(G45:G47)^12/100^11-100</f>
        <v>5.19337939473998</v>
      </c>
      <c r="J47" s="111"/>
      <c r="K47" s="84"/>
    </row>
    <row r="48" customFormat="false" ht="16.4" hidden="false" customHeight="false" outlineLevel="0" collapsed="false">
      <c r="A48" s="109" t="n">
        <v>41548</v>
      </c>
      <c r="B48" s="58" t="n">
        <v>1.03</v>
      </c>
      <c r="C48" s="4" t="n">
        <f aca="false">B48+100</f>
        <v>101.03</v>
      </c>
      <c r="D48" s="112" t="n">
        <f aca="false">C48*D47/100</f>
        <v>137.101180848015</v>
      </c>
      <c r="E48" s="113" t="n">
        <v>107.71</v>
      </c>
      <c r="F48" s="110" t="n">
        <v>138.638952910476</v>
      </c>
      <c r="G48" s="4" t="n">
        <f aca="false">F48/F47*100</f>
        <v>100.590484110579</v>
      </c>
      <c r="H48" s="84" t="n">
        <f aca="false">AVERAGE(G46:G48)^12/100^11-100</f>
        <v>6.94759364595424</v>
      </c>
      <c r="J48" s="111"/>
      <c r="K48" s="84"/>
    </row>
    <row r="49" customFormat="false" ht="16.4" hidden="false" customHeight="false" outlineLevel="0" collapsed="false">
      <c r="A49" s="109" t="n">
        <v>41579</v>
      </c>
      <c r="B49" s="58" t="n">
        <v>0.63</v>
      </c>
      <c r="C49" s="4" t="n">
        <f aca="false">B49+100</f>
        <v>100.63</v>
      </c>
      <c r="D49" s="112" t="n">
        <f aca="false">C49*D48/100</f>
        <v>137.964918287357</v>
      </c>
      <c r="E49" s="113" t="n">
        <v>107.64</v>
      </c>
      <c r="F49" s="110" t="n">
        <v>139.206343438193</v>
      </c>
      <c r="G49" s="4" t="n">
        <f aca="false">F49/F48*100</f>
        <v>100.409257655086</v>
      </c>
      <c r="H49" s="84" t="n">
        <f aca="false">AVERAGE(G47:G49)^12/100^11-100</f>
        <v>8.25084643394573</v>
      </c>
      <c r="J49" s="111"/>
      <c r="K49" s="84"/>
    </row>
    <row r="50" customFormat="false" ht="16.4" hidden="false" customHeight="false" outlineLevel="0" collapsed="false">
      <c r="A50" s="109" t="n">
        <v>41609</v>
      </c>
      <c r="B50" s="58" t="n">
        <v>0.7</v>
      </c>
      <c r="C50" s="4" t="n">
        <f aca="false">B50+100</f>
        <v>100.7</v>
      </c>
      <c r="D50" s="112" t="n">
        <f aca="false">C50*D49/100</f>
        <v>138.930672715369</v>
      </c>
      <c r="E50" s="113" t="n">
        <v>107.49</v>
      </c>
      <c r="F50" s="110" t="n">
        <v>139.046275077763</v>
      </c>
      <c r="G50" s="4" t="n">
        <f aca="false">F50/F49*100</f>
        <v>99.885013601768</v>
      </c>
      <c r="H50" s="84" t="n">
        <f aca="false">AVERAGE(G48:G50)^12/100^11-100</f>
        <v>3.59699430722726</v>
      </c>
      <c r="J50" s="111"/>
      <c r="K50" s="84"/>
    </row>
    <row r="51" customFormat="false" ht="16.4" hidden="false" customHeight="false" outlineLevel="0" collapsed="false">
      <c r="A51" s="109" t="n">
        <v>41640</v>
      </c>
      <c r="B51" s="58" t="n">
        <v>0.16</v>
      </c>
      <c r="C51" s="4" t="n">
        <f aca="false">B51+100</f>
        <v>100.16</v>
      </c>
      <c r="D51" s="112" t="n">
        <f aca="false">C51*D50/100</f>
        <v>139.152961791714</v>
      </c>
      <c r="E51" s="113" t="n">
        <v>106.87</v>
      </c>
      <c r="F51" s="110" t="n">
        <v>139.598836663309</v>
      </c>
      <c r="G51" s="4" t="n">
        <f aca="false">F51/F50*100</f>
        <v>100.397394022412</v>
      </c>
      <c r="H51" s="84" t="n">
        <f aca="false">AVERAGE(G49:G51)^12/100^11-100</f>
        <v>2.80201486723178</v>
      </c>
      <c r="J51" s="111"/>
      <c r="K51" s="84"/>
    </row>
    <row r="52" customFormat="false" ht="16.4" hidden="false" customHeight="false" outlineLevel="0" collapsed="false">
      <c r="A52" s="109" t="n">
        <v>41671</v>
      </c>
      <c r="B52" s="58" t="n">
        <v>0.62</v>
      </c>
      <c r="C52" s="4" t="n">
        <f aca="false">B52+100</f>
        <v>100.62</v>
      </c>
      <c r="D52" s="112" t="n">
        <f aca="false">C52*D51/100</f>
        <v>140.015710154822</v>
      </c>
      <c r="E52" s="113" t="n">
        <v>106.99</v>
      </c>
      <c r="F52" s="110" t="n">
        <v>140.664877718967</v>
      </c>
      <c r="G52" s="4" t="n">
        <f aca="false">F52/F51*100</f>
        <v>100.763646088419</v>
      </c>
      <c r="H52" s="84" t="n">
        <f aca="false">AVERAGE(G50:G52)^12/100^11-100</f>
        <v>4.26539827688804</v>
      </c>
      <c r="J52" s="111"/>
      <c r="K52" s="84"/>
    </row>
    <row r="53" customFormat="false" ht="16.4" hidden="false" customHeight="false" outlineLevel="0" collapsed="false">
      <c r="A53" s="109" t="n">
        <v>41699</v>
      </c>
      <c r="B53" s="58" t="n">
        <v>0.96</v>
      </c>
      <c r="C53" s="4" t="n">
        <f aca="false">B53+100</f>
        <v>100.96</v>
      </c>
      <c r="D53" s="112" t="n">
        <f aca="false">C53*D52/100</f>
        <v>141.359860972309</v>
      </c>
      <c r="E53" s="113" t="n">
        <v>107.48</v>
      </c>
      <c r="F53" s="110" t="n">
        <v>141.272204622293</v>
      </c>
      <c r="G53" s="4" t="n">
        <f aca="false">F53/F52*100</f>
        <v>100.431754474304</v>
      </c>
      <c r="H53" s="84" t="n">
        <f aca="false">AVERAGE(G51:G53)^12/100^11-100</f>
        <v>6.56055687426559</v>
      </c>
      <c r="J53" s="111"/>
      <c r="K53" s="84"/>
    </row>
    <row r="54" customFormat="false" ht="16.4" hidden="false" customHeight="false" outlineLevel="0" collapsed="false">
      <c r="A54" s="109" t="n">
        <v>41730</v>
      </c>
      <c r="B54" s="58" t="n">
        <v>0.63</v>
      </c>
      <c r="C54" s="4" t="n">
        <f aca="false">B54+100</f>
        <v>100.63</v>
      </c>
      <c r="D54" s="112" t="n">
        <f aca="false">C54*D53/100</f>
        <v>142.250428096434</v>
      </c>
      <c r="E54" s="113" t="n">
        <v>106.82</v>
      </c>
      <c r="F54" s="110" t="n">
        <v>142.196781683449</v>
      </c>
      <c r="G54" s="4" t="n">
        <f aca="false">F54/F53*100</f>
        <v>100.65446494845</v>
      </c>
      <c r="H54" s="84" t="n">
        <f aca="false">AVERAGE(G52:G54)^12/100^11-100</f>
        <v>7.65563913769348</v>
      </c>
      <c r="J54" s="111"/>
      <c r="K54" s="84"/>
    </row>
    <row r="55" customFormat="false" ht="16.4" hidden="false" customHeight="false" outlineLevel="0" collapsed="false">
      <c r="A55" s="109" t="n">
        <v>41760</v>
      </c>
      <c r="B55" s="58" t="n">
        <v>0.65</v>
      </c>
      <c r="C55" s="4" t="n">
        <f aca="false">B55+100</f>
        <v>100.65</v>
      </c>
      <c r="D55" s="112" t="n">
        <f aca="false">C55*D54/100</f>
        <v>143.175055879061</v>
      </c>
      <c r="E55" s="113" t="n">
        <v>106</v>
      </c>
      <c r="F55" s="110" t="n">
        <v>142.831706200988</v>
      </c>
      <c r="G55" s="4" t="n">
        <f aca="false">F55/F54*100</f>
        <v>100.446511172772</v>
      </c>
      <c r="H55" s="84" t="n">
        <f aca="false">AVERAGE(G53:G55)^12/100^11-100</f>
        <v>6.30616965424936</v>
      </c>
      <c r="J55" s="111"/>
      <c r="K55" s="84"/>
    </row>
    <row r="56" customFormat="false" ht="16.4" hidden="false" customHeight="false" outlineLevel="0" collapsed="false">
      <c r="A56" s="109" t="n">
        <v>41791</v>
      </c>
      <c r="B56" s="58" t="n">
        <v>0.01</v>
      </c>
      <c r="C56" s="4" t="n">
        <f aca="false">B56+100</f>
        <v>100.01</v>
      </c>
      <c r="D56" s="112" t="n">
        <f aca="false">C56*D55/100</f>
        <v>143.189373384649</v>
      </c>
      <c r="E56" s="113" t="n">
        <v>105.92</v>
      </c>
      <c r="F56" s="110" t="n">
        <v>143.288461622027</v>
      </c>
      <c r="G56" s="4" t="n">
        <f aca="false">F56/F55*100</f>
        <v>100.319785734686</v>
      </c>
      <c r="H56" s="84" t="n">
        <f aca="false">AVERAGE(G54:G56)^12/100^11-100</f>
        <v>5.83343736545859</v>
      </c>
      <c r="J56" s="111"/>
      <c r="K56" s="84"/>
    </row>
    <row r="57" customFormat="false" ht="16.4" hidden="false" customHeight="false" outlineLevel="0" collapsed="false">
      <c r="A57" s="109" t="n">
        <v>41821</v>
      </c>
      <c r="B57" s="58" t="n">
        <v>-0.02</v>
      </c>
      <c r="C57" s="4" t="n">
        <f aca="false">B57+100</f>
        <v>99.98</v>
      </c>
      <c r="D57" s="112" t="n">
        <f aca="false">C57*D56/100</f>
        <v>143.160735509972</v>
      </c>
      <c r="E57" s="113" t="n">
        <v>105.28</v>
      </c>
      <c r="F57" s="110" t="n">
        <v>144.67725602059</v>
      </c>
      <c r="G57" s="4" t="n">
        <f aca="false">F57/F56*100</f>
        <v>100.969229750143</v>
      </c>
      <c r="H57" s="84" t="n">
        <f aca="false">AVERAGE(G55:G57)^12/100^11-100</f>
        <v>7.16730590309936</v>
      </c>
      <c r="J57" s="111"/>
      <c r="K57" s="84"/>
    </row>
    <row r="58" customFormat="false" ht="16.4" hidden="false" customHeight="false" outlineLevel="0" collapsed="false">
      <c r="A58" s="109" t="n">
        <v>41852</v>
      </c>
      <c r="B58" s="58" t="n">
        <v>0.42</v>
      </c>
      <c r="C58" s="4" t="n">
        <f aca="false">B58+100</f>
        <v>100.42</v>
      </c>
      <c r="D58" s="112" t="n">
        <f aca="false">C58*D57/100</f>
        <v>143.762010599114</v>
      </c>
      <c r="E58" s="113" t="n">
        <v>106.13</v>
      </c>
      <c r="F58" s="110" t="n">
        <v>146.376029413204</v>
      </c>
      <c r="G58" s="4" t="n">
        <f aca="false">F58/F57*100</f>
        <v>101.174181374004</v>
      </c>
      <c r="H58" s="84" t="n">
        <f aca="false">AVERAGE(G56:G58)^12/100^11-100</f>
        <v>10.3101310092192</v>
      </c>
      <c r="J58" s="111"/>
      <c r="K58" s="84"/>
    </row>
    <row r="59" customFormat="false" ht="16.4" hidden="false" customHeight="false" outlineLevel="0" collapsed="false">
      <c r="A59" s="109" t="n">
        <v>41883</v>
      </c>
      <c r="B59" s="58" t="n">
        <v>1.22</v>
      </c>
      <c r="C59" s="4" t="n">
        <f aca="false">B59+100</f>
        <v>101.22</v>
      </c>
      <c r="D59" s="112" t="n">
        <f aca="false">C59*D58/100</f>
        <v>145.515907128423</v>
      </c>
      <c r="E59" s="113" t="n">
        <v>107.23</v>
      </c>
      <c r="F59" s="110" t="n">
        <v>147.172633854126</v>
      </c>
      <c r="G59" s="4" t="n">
        <f aca="false">F59/F58*100</f>
        <v>100.544217823175</v>
      </c>
      <c r="H59" s="84" t="n">
        <f aca="false">AVERAGE(G57:G59)^12/100^11-100</f>
        <v>11.2963701086908</v>
      </c>
      <c r="J59" s="111"/>
      <c r="K59" s="84"/>
    </row>
    <row r="60" customFormat="false" ht="16.4" hidden="false" customHeight="false" outlineLevel="0" collapsed="false">
      <c r="A60" s="109" t="n">
        <v>41913</v>
      </c>
      <c r="B60" s="58" t="n">
        <v>0.6</v>
      </c>
      <c r="C60" s="4" t="n">
        <f aca="false">B60+100</f>
        <v>100.6</v>
      </c>
      <c r="D60" s="112" t="n">
        <f aca="false">C60*D59/100</f>
        <v>146.389002571193</v>
      </c>
      <c r="E60" s="113" t="n">
        <v>106.78</v>
      </c>
      <c r="F60" s="110" t="n">
        <v>148.554767574429</v>
      </c>
      <c r="G60" s="4" t="n">
        <f aca="false">F60/F59*100</f>
        <v>100.939124132054</v>
      </c>
      <c r="H60" s="84" t="n">
        <f aca="false">AVERAGE(G58:G60)^12/100^11-100</f>
        <v>11.1636069544169</v>
      </c>
      <c r="J60" s="111"/>
      <c r="K60" s="84"/>
    </row>
    <row r="61" customFormat="false" ht="16.4" hidden="false" customHeight="false" outlineLevel="0" collapsed="false">
      <c r="A61" s="109" t="n">
        <v>41944</v>
      </c>
      <c r="B61" s="58" t="n">
        <v>0.98</v>
      </c>
      <c r="C61" s="4" t="n">
        <f aca="false">B61+100</f>
        <v>100.98</v>
      </c>
      <c r="D61" s="112" t="n">
        <f aca="false">C61*D60/100</f>
        <v>147.823614796391</v>
      </c>
      <c r="E61" s="113" t="n">
        <v>107.15</v>
      </c>
      <c r="F61" s="110" t="n">
        <v>150.98827521316</v>
      </c>
      <c r="G61" s="4" t="n">
        <f aca="false">F61/F60*100</f>
        <v>101.638121534882</v>
      </c>
      <c r="H61" s="84" t="n">
        <f aca="false">AVERAGE(G59:G61)^12/100^11-100</f>
        <v>13.2257516030304</v>
      </c>
      <c r="J61" s="111"/>
      <c r="K61" s="84"/>
    </row>
    <row r="62" customFormat="false" ht="16.4" hidden="false" customHeight="false" outlineLevel="0" collapsed="false">
      <c r="A62" s="109" t="n">
        <v>41974</v>
      </c>
      <c r="B62" s="58" t="n">
        <v>1.94</v>
      </c>
      <c r="C62" s="4" t="n">
        <f aca="false">B62+100</f>
        <v>101.94</v>
      </c>
      <c r="D62" s="112" t="n">
        <f aca="false">C62*D61/100</f>
        <v>150.691392923441</v>
      </c>
      <c r="E62" s="113" t="n">
        <v>108.46</v>
      </c>
      <c r="F62" s="110" t="n">
        <v>156.758170118504</v>
      </c>
      <c r="G62" s="4" t="n">
        <f aca="false">F62/F61*100</f>
        <v>103.821419177879</v>
      </c>
      <c r="H62" s="84" t="n">
        <f aca="false">AVERAGE(G60:G62)^12/100^11-100</f>
        <v>28.8212073846578</v>
      </c>
      <c r="J62" s="111"/>
      <c r="K62" s="84"/>
    </row>
    <row r="63" customFormat="false" ht="16.4" hidden="false" customHeight="false" outlineLevel="0" collapsed="false">
      <c r="A63" s="109" t="n">
        <v>42005</v>
      </c>
      <c r="B63" s="58" t="n">
        <v>4.11</v>
      </c>
      <c r="C63" s="4" t="n">
        <f aca="false">B63+100</f>
        <v>104.11</v>
      </c>
      <c r="D63" s="112" t="n">
        <f aca="false">C63*D62/100</f>
        <v>156.884809172595</v>
      </c>
      <c r="E63" s="113" t="n">
        <v>112.74</v>
      </c>
      <c r="F63" s="110" t="n">
        <v>161.117613625592</v>
      </c>
      <c r="G63" s="4" t="n">
        <f aca="false">F63/F62*100</f>
        <v>102.780999231997</v>
      </c>
      <c r="H63" s="84" t="n">
        <f aca="false">AVERAGE(G61:G63)^12/100^11-100</f>
        <v>38.4273880775173</v>
      </c>
      <c r="J63" s="111"/>
      <c r="K63" s="84"/>
    </row>
    <row r="64" customFormat="false" ht="16.4" hidden="false" customHeight="false" outlineLevel="0" collapsed="false">
      <c r="A64" s="109" t="n">
        <v>42036</v>
      </c>
      <c r="B64" s="58" t="n">
        <v>3.01</v>
      </c>
      <c r="C64" s="4" t="n">
        <f aca="false">B64+100</f>
        <v>103.01</v>
      </c>
      <c r="D64" s="112" t="n">
        <f aca="false">C64*D63/100</f>
        <v>161.60704192869</v>
      </c>
      <c r="E64" s="113" t="n">
        <v>115.41</v>
      </c>
      <c r="F64" s="110" t="n">
        <v>163.892811032649</v>
      </c>
      <c r="G64" s="4" t="n">
        <f aca="false">F64/F63*100</f>
        <v>101.722466802113</v>
      </c>
      <c r="H64" s="84" t="n">
        <f aca="false">AVERAGE(G62:G64)^12/100^11-100</f>
        <v>38.8826150071611</v>
      </c>
      <c r="J64" s="111"/>
      <c r="K64" s="84"/>
    </row>
    <row r="65" customFormat="false" ht="16.4" hidden="false" customHeight="false" outlineLevel="0" collapsed="false">
      <c r="A65" s="109" t="n">
        <v>42064</v>
      </c>
      <c r="B65" s="58" t="n">
        <v>1.92</v>
      </c>
      <c r="C65" s="4" t="n">
        <f aca="false">B65+100</f>
        <v>101.92</v>
      </c>
      <c r="D65" s="112" t="n">
        <f aca="false">C65*D64/100</f>
        <v>164.709897133721</v>
      </c>
      <c r="E65" s="113" t="n">
        <v>116.51</v>
      </c>
      <c r="F65" s="110" t="n">
        <v>165.569763055655</v>
      </c>
      <c r="G65" s="4" t="n">
        <f aca="false">F65/F64*100</f>
        <v>101.023200476238</v>
      </c>
      <c r="H65" s="84" t="n">
        <f aca="false">AVERAGE(G63:G65)^12/100^11-100</f>
        <v>24.4899817475409</v>
      </c>
      <c r="J65" s="111"/>
      <c r="K65" s="84"/>
    </row>
    <row r="66" customFormat="false" ht="16.4" hidden="false" customHeight="false" outlineLevel="0" collapsed="false">
      <c r="A66" s="109" t="n">
        <v>42095</v>
      </c>
      <c r="B66" s="58" t="n">
        <v>1.24</v>
      </c>
      <c r="C66" s="4" t="n">
        <f aca="false">B66+100</f>
        <v>101.24</v>
      </c>
      <c r="D66" s="112" t="n">
        <f aca="false">C66*D65/100</f>
        <v>166.752299858179</v>
      </c>
      <c r="E66" s="113" t="n">
        <v>117.22</v>
      </c>
      <c r="F66" s="110" t="n">
        <v>166.234925782537</v>
      </c>
      <c r="G66" s="4" t="n">
        <f aca="false">F66/F65*100</f>
        <v>100.401741667443</v>
      </c>
      <c r="H66" s="84" t="n">
        <f aca="false">AVERAGE(G64:G66)^12/100^11-100</f>
        <v>13.3421040534834</v>
      </c>
      <c r="J66" s="111"/>
      <c r="K66" s="84"/>
    </row>
    <row r="67" customFormat="false" ht="16.4" hidden="false" customHeight="false" outlineLevel="0" collapsed="false">
      <c r="A67" s="109" t="n">
        <v>42125</v>
      </c>
      <c r="B67" s="58" t="n">
        <v>0.37</v>
      </c>
      <c r="C67" s="4" t="n">
        <f aca="false">B67+100</f>
        <v>100.37</v>
      </c>
      <c r="D67" s="112" t="n">
        <f aca="false">C67*D66/100</f>
        <v>167.369283367654</v>
      </c>
      <c r="E67" s="113" t="n">
        <v>116.89</v>
      </c>
      <c r="F67" s="110" t="n">
        <v>166.472082263941</v>
      </c>
      <c r="G67" s="4" t="n">
        <f aca="false">F67/F66*100</f>
        <v>100.142663450708</v>
      </c>
      <c r="H67" s="84" t="n">
        <f aca="false">AVERAGE(G65:G67)^12/100^11-100</f>
        <v>6.45380683453865</v>
      </c>
      <c r="J67" s="111"/>
      <c r="K67" s="84"/>
    </row>
    <row r="68" customFormat="false" ht="16.4" hidden="false" customHeight="false" outlineLevel="0" collapsed="false">
      <c r="A68" s="109" t="n">
        <v>42156</v>
      </c>
      <c r="B68" s="58" t="n">
        <v>-0.28</v>
      </c>
      <c r="C68" s="4" t="n">
        <f aca="false">B68+100</f>
        <v>99.72</v>
      </c>
      <c r="D68" s="112" t="n">
        <f aca="false">C68*D67/100</f>
        <v>166.900649374225</v>
      </c>
      <c r="E68" s="113" t="n">
        <v>116.55</v>
      </c>
      <c r="F68" s="110" t="n">
        <v>167.591769691186</v>
      </c>
      <c r="G68" s="4" t="n">
        <f aca="false">F68/F67*100</f>
        <v>100.672597718499</v>
      </c>
      <c r="H68" s="84" t="n">
        <f aca="false">AVERAGE(G66:G68)^12/100^11-100</f>
        <v>4.97810724130076</v>
      </c>
      <c r="J68" s="111"/>
      <c r="K68" s="84"/>
    </row>
    <row r="69" customFormat="false" ht="16.4" hidden="false" customHeight="false" outlineLevel="0" collapsed="false">
      <c r="A69" s="109" t="n">
        <v>42186</v>
      </c>
      <c r="B69" s="58" t="n">
        <v>0.33</v>
      </c>
      <c r="C69" s="4" t="n">
        <f aca="false">B69+100</f>
        <v>100.33</v>
      </c>
      <c r="D69" s="112" t="n">
        <f aca="false">C69*D68/100</f>
        <v>167.451421517159</v>
      </c>
      <c r="E69" s="113" t="n">
        <v>116.96</v>
      </c>
      <c r="F69" s="110" t="n">
        <v>169.238821615387</v>
      </c>
      <c r="G69" s="4" t="n">
        <f aca="false">F69/F68*100</f>
        <v>100.982776139446</v>
      </c>
      <c r="H69" s="84" t="n">
        <f aca="false">AVERAGE(G67:G69)^12/100^11-100</f>
        <v>7.43403232848942</v>
      </c>
      <c r="J69" s="111"/>
      <c r="K69" s="84"/>
    </row>
    <row r="70" customFormat="false" ht="16.4" hidden="false" customHeight="false" outlineLevel="0" collapsed="false">
      <c r="A70" s="109" t="n">
        <v>42217</v>
      </c>
      <c r="B70" s="58" t="n">
        <v>0.44</v>
      </c>
      <c r="C70" s="4" t="n">
        <f aca="false">B70+100</f>
        <v>100.44</v>
      </c>
      <c r="D70" s="112" t="n">
        <f aca="false">C70*D69/100</f>
        <v>168.188207771835</v>
      </c>
      <c r="E70" s="113" t="n">
        <v>116.99</v>
      </c>
      <c r="F70" s="110" t="n">
        <v>170.89756458325</v>
      </c>
      <c r="G70" s="4" t="n">
        <f aca="false">F70/F69*100</f>
        <v>100.980119662871</v>
      </c>
      <c r="H70" s="84" t="n">
        <f aca="false">AVERAGE(G68:G70)^12/100^11-100</f>
        <v>11.0665494171822</v>
      </c>
      <c r="J70" s="111"/>
      <c r="K70" s="84"/>
    </row>
    <row r="71" customFormat="false" ht="16.4" hidden="false" customHeight="false" outlineLevel="0" collapsed="false">
      <c r="A71" s="109" t="n">
        <v>42248</v>
      </c>
      <c r="B71" s="58" t="n">
        <v>1</v>
      </c>
      <c r="C71" s="4" t="n">
        <f aca="false">B71+100</f>
        <v>101</v>
      </c>
      <c r="D71" s="112" t="n">
        <f aca="false">C71*D70/100</f>
        <v>169.870089849553</v>
      </c>
      <c r="E71" s="113" t="n">
        <v>116.74</v>
      </c>
      <c r="F71" s="110" t="n">
        <v>173.012645117998</v>
      </c>
      <c r="G71" s="4" t="n">
        <f aca="false">F71/F70*100</f>
        <v>101.237630588772</v>
      </c>
      <c r="H71" s="84" t="n">
        <f aca="false">AVERAGE(G69:G71)^12/100^11-100</f>
        <v>13.5806513019922</v>
      </c>
      <c r="J71" s="111"/>
      <c r="K71" s="84"/>
    </row>
    <row r="72" customFormat="false" ht="16.4" hidden="false" customHeight="false" outlineLevel="0" collapsed="false">
      <c r="A72" s="109" t="n">
        <v>42278</v>
      </c>
      <c r="B72" s="58" t="n">
        <v>1.31</v>
      </c>
      <c r="C72" s="4" t="n">
        <f aca="false">B72+100</f>
        <v>101.31</v>
      </c>
      <c r="D72" s="112" t="n">
        <f aca="false">C72*D71/100</f>
        <v>172.095388026582</v>
      </c>
      <c r="E72" s="113" t="n">
        <v>117.57</v>
      </c>
      <c r="F72" s="110" t="n">
        <v>173.492417746035</v>
      </c>
      <c r="G72" s="4" t="n">
        <f aca="false">F72/F71*100</f>
        <v>100.277304949421</v>
      </c>
      <c r="H72" s="84" t="n">
        <f aca="false">AVERAGE(G70:G72)^12/100^11-100</f>
        <v>10.4496389375377</v>
      </c>
      <c r="J72" s="111"/>
      <c r="K72" s="84"/>
    </row>
    <row r="73" customFormat="false" ht="16.4" hidden="false" customHeight="false" outlineLevel="0" collapsed="false">
      <c r="A73" s="109" t="n">
        <v>42309</v>
      </c>
      <c r="B73" s="58" t="n">
        <v>0.32</v>
      </c>
      <c r="C73" s="4" t="n">
        <f aca="false">B73+100</f>
        <v>100.32</v>
      </c>
      <c r="D73" s="112" t="n">
        <f aca="false">C73*D72/100</f>
        <v>172.646093268268</v>
      </c>
      <c r="E73" s="113" t="n">
        <v>116.81</v>
      </c>
      <c r="F73" s="110" t="n">
        <v>174.063482170139</v>
      </c>
      <c r="G73" s="4" t="n">
        <f aca="false">F73/F72*100</f>
        <v>100.329158145078</v>
      </c>
      <c r="H73" s="84" t="n">
        <f aca="false">AVERAGE(G71:G73)^12/100^11-100</f>
        <v>7.63093926340913</v>
      </c>
      <c r="J73" s="111"/>
      <c r="K73" s="84"/>
    </row>
    <row r="74" customFormat="false" ht="16.4" hidden="false" customHeight="false" outlineLevel="0" collapsed="false">
      <c r="A74" s="109" t="n">
        <v>42339</v>
      </c>
      <c r="B74" s="58" t="n">
        <v>0.62</v>
      </c>
      <c r="C74" s="4" t="n">
        <f aca="false">B74+100</f>
        <v>100.62</v>
      </c>
      <c r="D74" s="112" t="n">
        <f aca="false">C74*D73/100</f>
        <v>173.716499046531</v>
      </c>
      <c r="E74" s="113" t="n">
        <v>115.3</v>
      </c>
      <c r="F74" s="110" t="n">
        <v>174.944459332074</v>
      </c>
      <c r="G74" s="4" t="n">
        <f aca="false">F74/F73*100</f>
        <v>100.506124059424</v>
      </c>
      <c r="H74" s="84" t="n">
        <f aca="false">AVERAGE(G72:G74)^12/100^11-100</f>
        <v>4.54225589106216</v>
      </c>
      <c r="J74" s="111"/>
      <c r="K74" s="84"/>
    </row>
    <row r="75" customFormat="false" ht="16.4" hidden="false" customHeight="false" outlineLevel="0" collapsed="false">
      <c r="A75" s="109" t="n">
        <v>42370</v>
      </c>
      <c r="B75" s="58" t="n">
        <v>0.79</v>
      </c>
      <c r="C75" s="4" t="n">
        <f aca="false">B75+100</f>
        <v>100.79</v>
      </c>
      <c r="D75" s="112" t="n">
        <f aca="false">C75*D74/100</f>
        <v>175.088859388998</v>
      </c>
      <c r="E75" s="113" t="n">
        <v>111.62</v>
      </c>
      <c r="F75" s="110" t="n">
        <v>175.637749410004</v>
      </c>
      <c r="G75" s="4" t="n">
        <f aca="false">F75/F74*100</f>
        <v>100.396291531939</v>
      </c>
      <c r="H75" s="84" t="n">
        <f aca="false">AVERAGE(G73:G75)^12/100^11-100</f>
        <v>5.0390612709146</v>
      </c>
      <c r="J75" s="58" t="n">
        <v>100.31</v>
      </c>
      <c r="K75" s="84"/>
    </row>
    <row r="76" customFormat="false" ht="16.4" hidden="false" customHeight="false" outlineLevel="0" collapsed="false">
      <c r="A76" s="109" t="n">
        <v>42401</v>
      </c>
      <c r="B76" s="58" t="n">
        <v>0.62</v>
      </c>
      <c r="C76" s="4" t="n">
        <f aca="false">B76+100</f>
        <v>100.62</v>
      </c>
      <c r="D76" s="112" t="n">
        <f aca="false">C76*D75/100</f>
        <v>176.17441031721</v>
      </c>
      <c r="E76" s="113" t="n">
        <v>109.03</v>
      </c>
      <c r="F76" s="110" t="n">
        <v>175.763710945503</v>
      </c>
      <c r="G76" s="4" t="n">
        <f aca="false">F76/F75*100</f>
        <v>100.071716664511</v>
      </c>
      <c r="H76" s="84" t="n">
        <f aca="false">AVERAGE(G74:G76)^12/100^11-100</f>
        <v>3.9668762270324</v>
      </c>
      <c r="J76" s="58" t="n">
        <v>100.27</v>
      </c>
      <c r="K76" s="84"/>
    </row>
    <row r="77" customFormat="false" ht="16.4" hidden="false" customHeight="false" outlineLevel="0" collapsed="false">
      <c r="A77" s="109" t="n">
        <v>42430</v>
      </c>
      <c r="B77" s="58" t="n">
        <v>0.25</v>
      </c>
      <c r="C77" s="4" t="n">
        <f aca="false">B77+100</f>
        <v>100.25</v>
      </c>
      <c r="D77" s="112" t="n">
        <f aca="false">C77*D76/100</f>
        <v>176.614846343003</v>
      </c>
      <c r="E77" s="113" t="n">
        <v>107.24</v>
      </c>
      <c r="F77" s="110" t="n">
        <v>177.276786880876</v>
      </c>
      <c r="G77" s="4" t="n">
        <f aca="false">F77/F76*100</f>
        <v>100.860857982136</v>
      </c>
      <c r="H77" s="84" t="n">
        <f aca="false">AVERAGE(G75:G77)^12/100^11-100</f>
        <v>5.44689422857942</v>
      </c>
      <c r="J77" s="58" t="n">
        <v>100.03</v>
      </c>
      <c r="K77" s="84" t="n">
        <f aca="false">AVERAGE(J75:J77)^12/100^11-100</f>
        <v>2.46747312970884</v>
      </c>
    </row>
    <row r="78" customFormat="false" ht="16.4" hidden="false" customHeight="false" outlineLevel="0" collapsed="false">
      <c r="A78" s="109" t="n">
        <v>42461</v>
      </c>
      <c r="B78" s="58" t="n">
        <v>1.09</v>
      </c>
      <c r="C78" s="4" t="n">
        <f aca="false">B78+100</f>
        <v>101.09</v>
      </c>
      <c r="D78" s="112" t="n">
        <f aca="false">C78*D77/100</f>
        <v>178.539948168142</v>
      </c>
      <c r="E78" s="113" t="n">
        <v>107.08</v>
      </c>
      <c r="F78" s="110" t="n">
        <v>177.730547420412</v>
      </c>
      <c r="G78" s="4" t="n">
        <f aca="false">F78/F77*100</f>
        <v>100.255961622229</v>
      </c>
      <c r="H78" s="84" t="n">
        <f aca="false">AVERAGE(G76:G78)^12/100^11-100</f>
        <v>4.85911740033825</v>
      </c>
      <c r="J78" s="58" t="n">
        <v>101</v>
      </c>
      <c r="K78" s="84" t="n">
        <f aca="false">AVERAGE(J76:J78)^12/100^11-100</f>
        <v>5.32574105705406</v>
      </c>
    </row>
    <row r="79" customFormat="false" ht="16.4" hidden="false" customHeight="false" outlineLevel="0" collapsed="false">
      <c r="A79" s="109" t="n">
        <v>42491</v>
      </c>
      <c r="B79" s="58" t="n">
        <v>0.21</v>
      </c>
      <c r="C79" s="4" t="n">
        <f aca="false">B79+100</f>
        <v>100.21</v>
      </c>
      <c r="D79" s="112" t="n">
        <f aca="false">C79*D78/100</f>
        <v>178.914882059295</v>
      </c>
      <c r="E79" s="113" t="n">
        <v>106.91</v>
      </c>
      <c r="F79" s="110" t="n">
        <v>178.860878295929</v>
      </c>
      <c r="G79" s="4" t="n">
        <f aca="false">F79/F78*100</f>
        <v>100.635980078789</v>
      </c>
      <c r="H79" s="84" t="n">
        <f aca="false">AVERAGE(G77:G79)^12/100^11-100</f>
        <v>7.24094734266259</v>
      </c>
      <c r="J79" s="58" t="n">
        <v>100.26</v>
      </c>
      <c r="K79" s="84" t="n">
        <f aca="false">AVERAGE(J77:J79)^12/100^11-100</f>
        <v>5.28380019408198</v>
      </c>
    </row>
    <row r="80" customFormat="false" ht="16.4" hidden="false" customHeight="false" outlineLevel="0" collapsed="false">
      <c r="A80" s="109" t="n">
        <v>42522</v>
      </c>
      <c r="B80" s="58" t="n">
        <v>0.24</v>
      </c>
      <c r="C80" s="4" t="n">
        <f aca="false">B80+100</f>
        <v>100.24</v>
      </c>
      <c r="D80" s="112" t="n">
        <f aca="false">C80*D79/100</f>
        <v>179.344277776237</v>
      </c>
      <c r="E80" s="113" t="n">
        <v>107.47</v>
      </c>
      <c r="F80" s="110" t="n">
        <v>180.562249182629</v>
      </c>
      <c r="G80" s="4" t="n">
        <f aca="false">F80/F79*100</f>
        <v>100.951225837036</v>
      </c>
      <c r="H80" s="84" t="n">
        <f aca="false">AVERAGE(G78:G80)^12/100^11-100</f>
        <v>7.62697641505852</v>
      </c>
      <c r="J80" s="58" t="n">
        <v>100.43</v>
      </c>
      <c r="K80" s="84" t="n">
        <f aca="false">AVERAGE(J78:J80)^12/100^11-100</f>
        <v>6.97343059130941</v>
      </c>
    </row>
    <row r="81" customFormat="false" ht="16.4" hidden="false" customHeight="false" outlineLevel="0" collapsed="false">
      <c r="A81" s="109" t="n">
        <v>42552</v>
      </c>
      <c r="B81" s="58" t="n">
        <v>0.61</v>
      </c>
      <c r="C81" s="4" t="n">
        <f aca="false">B81+100</f>
        <v>100.61</v>
      </c>
      <c r="D81" s="112" t="n">
        <f aca="false">C81*D80/100</f>
        <v>180.438277870672</v>
      </c>
      <c r="E81" s="113" t="n">
        <v>107.77</v>
      </c>
      <c r="F81" s="110" t="n">
        <v>181.701274581295</v>
      </c>
      <c r="G81" s="4" t="n">
        <f aca="false">F81/F80*100</f>
        <v>100.630821450122</v>
      </c>
      <c r="H81" s="84" t="n">
        <f aca="false">AVERAGE(G79:G81)^12/100^11-100</f>
        <v>9.24192431541771</v>
      </c>
      <c r="J81" s="58" t="n">
        <v>101.03</v>
      </c>
      <c r="K81" s="84" t="n">
        <f aca="false">AVERAGE(J79:J81)^12/100^11-100</f>
        <v>7.10114945532648</v>
      </c>
    </row>
    <row r="82" customFormat="false" ht="16.4" hidden="false" customHeight="false" outlineLevel="0" collapsed="false">
      <c r="A82" s="109" t="n">
        <v>42583</v>
      </c>
      <c r="B82" s="58" t="n">
        <v>0.09</v>
      </c>
      <c r="C82" s="4" t="n">
        <f aca="false">B82+100</f>
        <v>100.09</v>
      </c>
      <c r="D82" s="112" t="n">
        <f aca="false">C82*D81/100</f>
        <v>180.600672320756</v>
      </c>
      <c r="E82" s="113" t="n">
        <v>107.39</v>
      </c>
      <c r="F82" s="110" t="n">
        <v>181.486526834415</v>
      </c>
      <c r="G82" s="4" t="n">
        <f aca="false">F82/F81*100</f>
        <v>99.8818127460169</v>
      </c>
      <c r="H82" s="84" t="n">
        <f aca="false">AVERAGE(G80:G82)^12/100^11-100</f>
        <v>6.0151693835261</v>
      </c>
      <c r="J82" s="58" t="n">
        <v>100.56</v>
      </c>
      <c r="K82" s="84" t="n">
        <f aca="false">AVERAGE(J80:J82)^12/100^11-100</f>
        <v>8.38604822225456</v>
      </c>
    </row>
    <row r="83" customFormat="false" ht="16.4" hidden="false" customHeight="false" outlineLevel="0" collapsed="false">
      <c r="A83" s="109" t="n">
        <v>42614</v>
      </c>
      <c r="B83" s="58" t="n">
        <v>-0.13</v>
      </c>
      <c r="C83" s="4" t="n">
        <f aca="false">B83+100</f>
        <v>99.87</v>
      </c>
      <c r="D83" s="112" t="n">
        <f aca="false">C83*D82/100</f>
        <v>180.365891446739</v>
      </c>
      <c r="E83" s="113" t="n">
        <v>106.18</v>
      </c>
      <c r="F83" s="110" t="n">
        <v>182.436033332305</v>
      </c>
      <c r="G83" s="4" t="n">
        <f aca="false">F83/F82*100</f>
        <v>100.523182913052</v>
      </c>
      <c r="H83" s="84" t="n">
        <f aca="false">AVERAGE(G81:G83)^12/100^11-100</f>
        <v>4.22286163781382</v>
      </c>
      <c r="J83" s="58" t="n">
        <v>100.24</v>
      </c>
      <c r="K83" s="84" t="n">
        <f aca="false">AVERAGE(J81:J83)^12/100^11-100</f>
        <v>7.57064879261868</v>
      </c>
    </row>
    <row r="84" customFormat="false" ht="16.4" hidden="false" customHeight="false" outlineLevel="0" collapsed="false">
      <c r="A84" s="109" t="n">
        <v>42644</v>
      </c>
      <c r="B84" s="58" t="n">
        <v>0.6</v>
      </c>
      <c r="C84" s="4" t="n">
        <f aca="false">B84+100</f>
        <v>100.6</v>
      </c>
      <c r="D84" s="112" t="n">
        <f aca="false">C84*D83/100</f>
        <v>181.448086795419</v>
      </c>
      <c r="E84" s="113" t="n">
        <v>105.43</v>
      </c>
      <c r="F84" s="110" t="n">
        <v>182.866921685406</v>
      </c>
      <c r="G84" s="4" t="n">
        <f aca="false">F84/F83*100</f>
        <v>100.236185990909</v>
      </c>
      <c r="H84" s="84" t="n">
        <f aca="false">AVERAGE(G82:G84)^12/100^11-100</f>
        <v>2.59509077371548</v>
      </c>
      <c r="J84" s="58" t="n">
        <v>100.56</v>
      </c>
      <c r="K84" s="84" t="n">
        <f aca="false">AVERAGE(J82:J84)^12/100^11-100</f>
        <v>5.57770802282748</v>
      </c>
    </row>
    <row r="85" customFormat="false" ht="16.4" hidden="false" customHeight="false" outlineLevel="0" collapsed="false">
      <c r="A85" s="109" t="n">
        <v>42675</v>
      </c>
      <c r="B85" s="58" t="n">
        <v>0.29</v>
      </c>
      <c r="C85" s="4" t="n">
        <f aca="false">B85+100</f>
        <v>100.29</v>
      </c>
      <c r="D85" s="112" t="n">
        <f aca="false">C85*D84/100</f>
        <v>181.974286247126</v>
      </c>
      <c r="E85" s="113" t="n">
        <v>105.39</v>
      </c>
      <c r="F85" s="110" t="n">
        <v>184.775734971971</v>
      </c>
      <c r="G85" s="4" t="n">
        <f aca="false">F85/F84*100</f>
        <v>101.043826444374</v>
      </c>
      <c r="H85" s="84" t="n">
        <f aca="false">AVERAGE(G83:G85)^12/100^11-100</f>
        <v>7.45606830063265</v>
      </c>
      <c r="J85" s="58" t="n">
        <v>100.16</v>
      </c>
      <c r="K85" s="84" t="n">
        <f aca="false">AVERAGE(J83:J85)^12/100^11-100</f>
        <v>3.90831011312571</v>
      </c>
    </row>
    <row r="86" customFormat="false" ht="16.4" hidden="false" customHeight="false" outlineLevel="0" collapsed="false">
      <c r="A86" s="109" t="n">
        <v>42705</v>
      </c>
      <c r="B86" s="58" t="n">
        <v>1.33</v>
      </c>
      <c r="C86" s="4" t="n">
        <f aca="false">B86+100</f>
        <v>101.33</v>
      </c>
      <c r="D86" s="112" t="n">
        <f aca="false">C86*D85/100</f>
        <v>184.394544254213</v>
      </c>
      <c r="E86" s="113" t="n">
        <v>106.13</v>
      </c>
      <c r="F86" s="110" t="n">
        <v>185.106313845135</v>
      </c>
      <c r="G86" s="4" t="n">
        <f aca="false">F86/F85*100</f>
        <v>100.17890816303</v>
      </c>
      <c r="H86" s="84" t="n">
        <f aca="false">AVERAGE(G84:G86)^12/100^11-100</f>
        <v>5.99432677230377</v>
      </c>
      <c r="J86" s="58" t="n">
        <v>101.04</v>
      </c>
      <c r="K86" s="84" t="n">
        <f aca="false">AVERAGE(J84:J86)^12/100^11-100</f>
        <v>7.2716587122558</v>
      </c>
    </row>
    <row r="87" customFormat="false" ht="16.4" hidden="false" customHeight="false" outlineLevel="0" collapsed="false">
      <c r="A87" s="109" t="n">
        <v>42736</v>
      </c>
      <c r="B87" s="58" t="n">
        <v>0.47</v>
      </c>
      <c r="C87" s="4" t="n">
        <f aca="false">B87+100</f>
        <v>100.47</v>
      </c>
      <c r="D87" s="112" t="n">
        <f aca="false">C87*D86/100</f>
        <v>185.261198612208</v>
      </c>
      <c r="E87" s="113" t="n">
        <v>105.79</v>
      </c>
      <c r="F87" s="110" t="n">
        <v>185.294784863016</v>
      </c>
      <c r="G87" s="4" t="n">
        <f aca="false">F87/F86*100</f>
        <v>100.101817714353</v>
      </c>
      <c r="H87" s="84" t="n">
        <f aca="false">AVERAGE(G85:G87)^12/100^11-100</f>
        <v>5.4287805843592</v>
      </c>
      <c r="J87" s="58" t="n">
        <v>100.04</v>
      </c>
      <c r="K87" s="84" t="n">
        <f aca="false">AVERAGE(J85:J87)^12/100^11-100</f>
        <v>5.07432542279955</v>
      </c>
    </row>
    <row r="88" customFormat="false" ht="16.4" hidden="false" customHeight="false" outlineLevel="0" collapsed="false">
      <c r="A88" s="109" t="n">
        <v>42767</v>
      </c>
      <c r="B88" s="58" t="n">
        <v>0.33</v>
      </c>
      <c r="C88" s="4" t="n">
        <f aca="false">B88+100</f>
        <v>100.33</v>
      </c>
      <c r="D88" s="112" t="n">
        <f aca="false">C88*D87/100</f>
        <v>185.872560567628</v>
      </c>
      <c r="E88" s="113" t="n">
        <v>105.49</v>
      </c>
      <c r="F88" s="110" t="n">
        <v>185.352569199362</v>
      </c>
      <c r="G88" s="4" t="n">
        <f aca="false">F88/F87*100</f>
        <v>100.0311850851</v>
      </c>
      <c r="H88" s="84" t="n">
        <f aca="false">AVERAGE(G86:G88)^12/100^11-100</f>
        <v>1.25480311992642</v>
      </c>
      <c r="J88" s="58" t="n">
        <v>99.97</v>
      </c>
      <c r="K88" s="84" t="n">
        <f aca="false">AVERAGE(J86:J88)^12/100^11-100</f>
        <v>4.28180071986154</v>
      </c>
    </row>
    <row r="89" customFormat="false" ht="16.4" hidden="false" customHeight="false" outlineLevel="0" collapsed="false">
      <c r="A89" s="109" t="n">
        <v>42795</v>
      </c>
      <c r="B89" s="58" t="n">
        <v>0.2</v>
      </c>
      <c r="C89" s="4" t="n">
        <f aca="false">B89+100</f>
        <v>100.2</v>
      </c>
      <c r="D89" s="112" t="n">
        <f aca="false">C89*D88/100</f>
        <v>186.244305688763</v>
      </c>
      <c r="E89" s="113" t="n">
        <v>105.44</v>
      </c>
      <c r="F89" s="110" t="n">
        <v>186.346485946394</v>
      </c>
      <c r="G89" s="4" t="n">
        <f aca="false">F89/F88*100</f>
        <v>100.536230358891</v>
      </c>
      <c r="H89" s="84" t="n">
        <f aca="false">AVERAGE(G87:G89)^12/100^11-100</f>
        <v>2.71002211072681</v>
      </c>
      <c r="J89" s="58" t="n">
        <v>100.02</v>
      </c>
      <c r="K89" s="84" t="n">
        <f aca="false">AVERAGE(J87:J89)^12/100^11-100</f>
        <v>0.120066022004835</v>
      </c>
    </row>
    <row r="90" customFormat="false" ht="16.4" hidden="false" customHeight="false" outlineLevel="0" collapsed="false">
      <c r="A90" s="109" t="n">
        <v>42826</v>
      </c>
      <c r="B90" s="58" t="n">
        <v>0.77</v>
      </c>
      <c r="C90" s="4" t="n">
        <f aca="false">B90+100</f>
        <v>100.77</v>
      </c>
      <c r="D90" s="112" t="n">
        <f aca="false">C90*D89/100</f>
        <v>187.678386842567</v>
      </c>
      <c r="E90" s="113" t="n">
        <v>105.11</v>
      </c>
      <c r="F90" s="110" t="n">
        <v>187.306686426308</v>
      </c>
      <c r="G90" s="4" t="n">
        <f aca="false">F90/F89*100</f>
        <v>100.515276945008</v>
      </c>
      <c r="H90" s="84" t="n">
        <f aca="false">AVERAGE(G88:G90)^12/100^11-100</f>
        <v>4.41777513570872</v>
      </c>
      <c r="J90" s="58" t="n">
        <v>100.66</v>
      </c>
      <c r="K90" s="84" t="n">
        <f aca="false">AVERAGE(J88:J90)^12/100^11-100</f>
        <v>2.63120819651449</v>
      </c>
    </row>
    <row r="91" customFormat="false" ht="16.4" hidden="false" customHeight="false" outlineLevel="0" collapsed="false">
      <c r="A91" s="109" t="n">
        <v>42856</v>
      </c>
      <c r="B91" s="58" t="n">
        <v>0.46</v>
      </c>
      <c r="C91" s="4" t="n">
        <f aca="false">B91+100</f>
        <v>100.46</v>
      </c>
      <c r="D91" s="112" t="n">
        <f aca="false">C91*D90/100</f>
        <v>188.541707422043</v>
      </c>
      <c r="E91" s="113" t="n">
        <v>105.37</v>
      </c>
      <c r="F91" s="110" t="n">
        <v>189.09120983649</v>
      </c>
      <c r="G91" s="4" t="n">
        <f aca="false">F91/F90*100</f>
        <v>100.952728086877</v>
      </c>
      <c r="H91" s="84" t="n">
        <f aca="false">AVERAGE(G89:G91)^12/100^11-100</f>
        <v>8.31817828319713</v>
      </c>
      <c r="J91" s="58" t="n">
        <v>100.49</v>
      </c>
      <c r="K91" s="84" t="n">
        <f aca="false">AVERAGE(J89:J91)^12/100^11-100</f>
        <v>4.78170254131656</v>
      </c>
    </row>
    <row r="92" customFormat="false" ht="16.4" hidden="false" customHeight="false" outlineLevel="0" collapsed="false">
      <c r="A92" s="109" t="n">
        <v>42887</v>
      </c>
      <c r="B92" s="58" t="n">
        <v>0.58</v>
      </c>
      <c r="C92" s="4" t="n">
        <f aca="false">B92+100</f>
        <v>100.58</v>
      </c>
      <c r="D92" s="112" t="n">
        <f aca="false">C92*D91/100</f>
        <v>189.63524932509</v>
      </c>
      <c r="E92" s="113" t="n">
        <v>105.72</v>
      </c>
      <c r="F92" s="110" t="n">
        <v>188.834303058061</v>
      </c>
      <c r="G92" s="4" t="n">
        <f aca="false">F92/F91*100</f>
        <v>99.8641360544199</v>
      </c>
      <c r="H92" s="84" t="n">
        <f aca="false">AVERAGE(G90:G92)^12/100^11-100</f>
        <v>5.4606472882848</v>
      </c>
      <c r="J92" s="58" t="n">
        <v>100.74</v>
      </c>
      <c r="K92" s="84" t="n">
        <f aca="false">AVERAGE(J90:J92)^12/100^11-100</f>
        <v>7.82753380297513</v>
      </c>
    </row>
    <row r="93" customFormat="false" ht="16.4" hidden="false" customHeight="false" outlineLevel="0" collapsed="false">
      <c r="A93" s="109" t="n">
        <v>42917</v>
      </c>
      <c r="B93" s="58" t="n">
        <v>-0.48</v>
      </c>
      <c r="C93" s="4" t="n">
        <f aca="false">B93+100</f>
        <v>99.52</v>
      </c>
      <c r="D93" s="112" t="n">
        <f aca="false">C93*D92/100</f>
        <v>188.72500012833</v>
      </c>
      <c r="E93" s="113" t="n">
        <v>104.58</v>
      </c>
      <c r="F93" s="110" t="n">
        <v>188.894262586946</v>
      </c>
      <c r="G93" s="4" t="n">
        <f aca="false">F93/F92*100</f>
        <v>100.031752455944</v>
      </c>
      <c r="H93" s="84" t="n">
        <f aca="false">AVERAGE(G91:G93)^12/100^11-100</f>
        <v>3.44777854102253</v>
      </c>
      <c r="J93" s="58" t="n">
        <v>100</v>
      </c>
      <c r="K93" s="84" t="n">
        <f aca="false">AVERAGE(J91:J93)^12/100^11-100</f>
        <v>5.03247634171567</v>
      </c>
    </row>
    <row r="94" customFormat="false" ht="16.4" hidden="false" customHeight="false" outlineLevel="0" collapsed="false">
      <c r="A94" s="109" t="n">
        <v>42948</v>
      </c>
      <c r="B94" s="58" t="n">
        <v>-0.51</v>
      </c>
      <c r="C94" s="4" t="n">
        <f aca="false">B94+100</f>
        <v>99.49</v>
      </c>
      <c r="D94" s="112" t="n">
        <f aca="false">C94*D93/100</f>
        <v>187.762502627676</v>
      </c>
      <c r="E94" s="113" t="n">
        <v>103.96</v>
      </c>
      <c r="F94" s="110" t="n">
        <v>188.688797545211</v>
      </c>
      <c r="G94" s="4" t="n">
        <f aca="false">F94/F93*100</f>
        <v>99.8912274841379</v>
      </c>
      <c r="H94" s="84" t="n">
        <f aca="false">AVERAGE(G92:G94)^12/100^11-100</f>
        <v>-0.848220433323618</v>
      </c>
      <c r="J94" s="58" t="n">
        <v>99.89</v>
      </c>
      <c r="K94" s="84" t="n">
        <f aca="false">AVERAGE(J92:J94)^12/100^11-100</f>
        <v>2.54931070792343</v>
      </c>
    </row>
    <row r="95" customFormat="false" ht="16.4" hidden="false" customHeight="false" outlineLevel="0" collapsed="false">
      <c r="A95" s="109" t="n">
        <v>42979</v>
      </c>
      <c r="B95" s="58" t="n">
        <v>-0.14</v>
      </c>
      <c r="C95" s="4" t="n">
        <f aca="false">B95+100</f>
        <v>99.86</v>
      </c>
      <c r="D95" s="112" t="n">
        <f aca="false">C95*D94/100</f>
        <v>187.499635123997</v>
      </c>
      <c r="E95" s="113" t="n">
        <v>103.95</v>
      </c>
      <c r="F95" s="110" t="n">
        <v>188.84173203715</v>
      </c>
      <c r="G95" s="4" t="n">
        <f aca="false">F95/F94*100</f>
        <v>100.081051177351</v>
      </c>
      <c r="H95" s="84" t="n">
        <f aca="false">AVERAGE(G93:G95)^12/100^11-100</f>
        <v>0.0161256614416487</v>
      </c>
      <c r="J95" s="58" t="n">
        <v>100.33</v>
      </c>
      <c r="K95" s="84" t="n">
        <f aca="false">AVERAGE(J93:J95)^12/100^11-100</f>
        <v>0.88355802381399</v>
      </c>
    </row>
    <row r="96" customFormat="false" ht="16.4" hidden="false" customHeight="false" outlineLevel="0" collapsed="false">
      <c r="A96" s="109" t="n">
        <v>43009</v>
      </c>
      <c r="B96" s="58" t="n">
        <v>0.16</v>
      </c>
      <c r="C96" s="4" t="n">
        <f aca="false">B96+100</f>
        <v>100.16</v>
      </c>
      <c r="D96" s="112" t="n">
        <f aca="false">C96*D95/100</f>
        <v>187.799634540195</v>
      </c>
      <c r="E96" s="113" t="n">
        <v>103.5</v>
      </c>
      <c r="F96" s="110" t="n">
        <v>189.05207435539</v>
      </c>
      <c r="G96" s="4" t="n">
        <f aca="false">F96/F95*100</f>
        <v>100.11138550572</v>
      </c>
      <c r="H96" s="84" t="n">
        <f aca="false">AVERAGE(G94:G96)^12/100^11-100</f>
        <v>0.335170457118736</v>
      </c>
      <c r="J96" s="58" t="n">
        <v>100.17</v>
      </c>
      <c r="K96" s="84" t="n">
        <f aca="false">AVERAGE(J94:J96)^12/100^11-100</f>
        <v>1.57120247567141</v>
      </c>
    </row>
    <row r="97" customFormat="false" ht="16.4" hidden="false" customHeight="false" outlineLevel="0" collapsed="false">
      <c r="A97" s="109" t="n">
        <v>43040</v>
      </c>
      <c r="B97" s="58" t="n">
        <v>0.18</v>
      </c>
      <c r="C97" s="4" t="n">
        <f aca="false">B97+100</f>
        <v>100.18</v>
      </c>
      <c r="D97" s="112" t="n">
        <f aca="false">C97*D96/100</f>
        <v>188.137673882368</v>
      </c>
      <c r="E97" s="113" t="n">
        <v>103.38</v>
      </c>
      <c r="F97" s="110" t="n">
        <v>189.384205830038</v>
      </c>
      <c r="G97" s="4" t="n">
        <f aca="false">F97/F96*100</f>
        <v>100.175682533916</v>
      </c>
      <c r="H97" s="84" t="n">
        <f aca="false">AVERAGE(G95:G97)^12/100^11-100</f>
        <v>1.48245515591624</v>
      </c>
      <c r="J97" s="58" t="n">
        <v>100.06</v>
      </c>
      <c r="K97" s="84" t="n">
        <f aca="false">AVERAGE(J95:J97)^12/100^11-100</f>
        <v>2.26314103064773</v>
      </c>
    </row>
    <row r="98" customFormat="false" ht="16.4" hidden="false" customHeight="false" outlineLevel="0" collapsed="false">
      <c r="A98" s="109" t="n">
        <v>43070</v>
      </c>
      <c r="B98" s="58" t="n">
        <v>0.44</v>
      </c>
      <c r="C98" s="4" t="n">
        <f aca="false">B98+100</f>
        <v>100.44</v>
      </c>
      <c r="D98" s="112" t="n">
        <f aca="false">C98*D97/100</f>
        <v>188.96547964745</v>
      </c>
      <c r="E98" s="113" t="n">
        <v>102.48</v>
      </c>
      <c r="F98" s="110" t="n">
        <v>188.753899252551</v>
      </c>
      <c r="G98" s="4" t="n">
        <f aca="false">F98/F97*100</f>
        <v>99.6671810224488</v>
      </c>
      <c r="H98" s="84" t="n">
        <f aca="false">AVERAGE(G96:G98)^12/100^11-100</f>
        <v>-0.182850332120765</v>
      </c>
      <c r="J98" s="58" t="n">
        <v>100.24</v>
      </c>
      <c r="K98" s="84" t="n">
        <f aca="false">AVERAGE(J96:J98)^12/100^11-100</f>
        <v>1.89628422880362</v>
      </c>
    </row>
    <row r="99" customFormat="false" ht="16.4" hidden="false" customHeight="false" outlineLevel="0" collapsed="false">
      <c r="A99" s="109" t="n">
        <v>43101</v>
      </c>
      <c r="B99" s="58" t="n">
        <v>-0.03</v>
      </c>
      <c r="C99" s="4" t="n">
        <f aca="false">B99+100</f>
        <v>99.97</v>
      </c>
      <c r="D99" s="112" t="n">
        <f aca="false">C99*D98/100</f>
        <v>188.908790003556</v>
      </c>
      <c r="E99" s="113" t="n">
        <v>101.97</v>
      </c>
      <c r="F99" s="110" t="n">
        <v>188.943641476973</v>
      </c>
      <c r="G99" s="4" t="n">
        <f aca="false">F99/F98*100</f>
        <v>100.100523605167</v>
      </c>
      <c r="H99" s="84" t="n">
        <f aca="false">AVERAGE(G97:G99)^12/100^11-100</f>
        <v>-0.226216467332947</v>
      </c>
      <c r="J99" s="58" t="n">
        <v>99.58</v>
      </c>
      <c r="K99" s="84" t="n">
        <f aca="false">AVERAGE(J97:J99)^12/100^11-100</f>
        <v>-0.478945406733686</v>
      </c>
    </row>
    <row r="100" customFormat="false" ht="16.4" hidden="false" customHeight="false" outlineLevel="0" collapsed="false">
      <c r="A100" s="109" t="n">
        <v>43132</v>
      </c>
      <c r="B100" s="58" t="n">
        <v>0.34</v>
      </c>
      <c r="C100" s="4" t="n">
        <f aca="false">B100+100</f>
        <v>100.34</v>
      </c>
      <c r="D100" s="112" t="n">
        <f aca="false">C100*D99/100</f>
        <v>189.551079889568</v>
      </c>
      <c r="E100" s="113" t="n">
        <v>101.98</v>
      </c>
      <c r="F100" s="110" t="n">
        <v>188.775761706752</v>
      </c>
      <c r="G100" s="4" t="n">
        <f aca="false">F100/F99*100</f>
        <v>99.9111482297532</v>
      </c>
      <c r="H100" s="84" t="n">
        <f aca="false">AVERAGE(G98:G100)^12/100^11-100</f>
        <v>-1.2770522245936</v>
      </c>
      <c r="J100" s="58" t="n">
        <v>100</v>
      </c>
      <c r="K100" s="84" t="n">
        <f aca="false">AVERAGE(J98:J100)^12/100^11-100</f>
        <v>-0.717628745590972</v>
      </c>
    </row>
    <row r="101" customFormat="false" ht="16.4" hidden="false" customHeight="false" outlineLevel="0" collapsed="false">
      <c r="A101" s="109" t="n">
        <v>43160</v>
      </c>
      <c r="B101" s="58" t="n">
        <v>0.08</v>
      </c>
      <c r="C101" s="4" t="n">
        <f aca="false">B101+100</f>
        <v>100.08</v>
      </c>
      <c r="D101" s="112" t="n">
        <f aca="false">C101*D100/100</f>
        <v>189.702720753479</v>
      </c>
      <c r="E101" s="113" t="n">
        <v>101.86</v>
      </c>
      <c r="F101" s="110" t="n">
        <v>189.284713215335</v>
      </c>
      <c r="G101" s="4" t="n">
        <f aca="false">F101/F100*100</f>
        <v>100.269606385895</v>
      </c>
      <c r="H101" s="84" t="n">
        <f aca="false">AVERAGE(G99:G101)^12/100^11-100</f>
        <v>1.13093299988644</v>
      </c>
      <c r="J101" s="58" t="n">
        <v>99.88</v>
      </c>
      <c r="K101" s="84" t="n">
        <f aca="false">AVERAGE(J99:J101)^12/100^11-100</f>
        <v>-2.13874378586227</v>
      </c>
    </row>
    <row r="102" customFormat="false" ht="16.4" hidden="false" customHeight="false" outlineLevel="0" collapsed="false">
      <c r="A102" s="109" t="n">
        <v>43191</v>
      </c>
      <c r="B102" s="58" t="n">
        <v>0.5</v>
      </c>
      <c r="C102" s="4" t="n">
        <f aca="false">B102+100</f>
        <v>100.5</v>
      </c>
      <c r="D102" s="112" t="n">
        <f aca="false">C102*D101/100</f>
        <v>190.651234357247</v>
      </c>
      <c r="E102" s="113" t="n">
        <v>101.58</v>
      </c>
      <c r="F102" s="110" t="n">
        <v>189.586323377697</v>
      </c>
      <c r="G102" s="4" t="n">
        <f aca="false">F102/F101*100</f>
        <v>100.15934206056</v>
      </c>
      <c r="H102" s="84" t="n">
        <f aca="false">AVERAGE(G100:G102)^12/100^11-100</f>
        <v>1.36890099448455</v>
      </c>
      <c r="J102" s="58" t="n">
        <v>100.35</v>
      </c>
      <c r="K102" s="84" t="n">
        <f aca="false">AVERAGE(J100:J102)^12/100^11-100</f>
        <v>0.92388926430759</v>
      </c>
    </row>
    <row r="103" customFormat="false" ht="16.4" hidden="false" customHeight="false" outlineLevel="0" collapsed="false">
      <c r="A103" s="109" t="n">
        <v>43221</v>
      </c>
      <c r="B103" s="58" t="n">
        <v>0.09</v>
      </c>
      <c r="C103" s="4" t="n">
        <f aca="false">B103+100</f>
        <v>100.09</v>
      </c>
      <c r="D103" s="112" t="n">
        <f aca="false">C103*D102/100</f>
        <v>190.822820468168</v>
      </c>
      <c r="E103" s="113" t="n">
        <v>101.21</v>
      </c>
      <c r="F103" s="110" t="n">
        <v>191.4963123446</v>
      </c>
      <c r="G103" s="4" t="n">
        <f aca="false">F103/F102*100</f>
        <v>101.007450818643</v>
      </c>
      <c r="H103" s="84" t="n">
        <f aca="false">AVERAGE(G101:G103)^12/100^11-100</f>
        <v>5.89934256939527</v>
      </c>
      <c r="J103" s="58" t="n">
        <v>100.16</v>
      </c>
      <c r="K103" s="84" t="n">
        <f aca="false">AVERAGE(J101:J103)^12/100^11-100</f>
        <v>1.57120247567141</v>
      </c>
    </row>
    <row r="104" customFormat="false" ht="16.4" hidden="false" customHeight="false" outlineLevel="0" collapsed="false">
      <c r="A104" s="109" t="n">
        <v>43252</v>
      </c>
      <c r="B104" s="58" t="n">
        <v>0.64</v>
      </c>
      <c r="C104" s="4" t="n">
        <f aca="false">B104+100</f>
        <v>100.64</v>
      </c>
      <c r="D104" s="112" t="n">
        <f aca="false">C104*D103/100</f>
        <v>192.044086519165</v>
      </c>
      <c r="E104" s="113" t="n">
        <v>101.27</v>
      </c>
      <c r="F104" s="110" t="n">
        <v>192.393577078736</v>
      </c>
      <c r="G104" s="4" t="n">
        <f aca="false">F104/F103*100</f>
        <v>100.468554575882</v>
      </c>
      <c r="H104" s="84" t="n">
        <f aca="false">AVERAGE(G102:G104)^12/100^11-100</f>
        <v>6.74111734120511</v>
      </c>
      <c r="J104" s="58" t="n">
        <v>100.81</v>
      </c>
      <c r="K104" s="84" t="n">
        <f aca="false">AVERAGE(J102:J104)^12/100^11-100</f>
        <v>5.40966873236185</v>
      </c>
    </row>
    <row r="105" customFormat="false" ht="16.4" hidden="false" customHeight="false" outlineLevel="0" collapsed="false">
      <c r="A105" s="109" t="n">
        <v>43282</v>
      </c>
      <c r="B105" s="58" t="n">
        <v>0.12</v>
      </c>
      <c r="C105" s="4" t="n">
        <f aca="false">B105+100</f>
        <v>100.12</v>
      </c>
      <c r="D105" s="112" t="n">
        <f aca="false">C105*D104/100</f>
        <v>192.274539422988</v>
      </c>
      <c r="E105" s="113" t="n">
        <v>101.88</v>
      </c>
      <c r="F105" s="110" t="n">
        <v>193.348429519881</v>
      </c>
      <c r="G105" s="4" t="n">
        <f aca="false">F105/F104*100</f>
        <v>100.49630162069</v>
      </c>
      <c r="H105" s="84" t="n">
        <f aca="false">AVERAGE(G103:G105)^12/100^11-100</f>
        <v>8.18083928668501</v>
      </c>
      <c r="J105" s="58" t="n">
        <v>100.6</v>
      </c>
      <c r="K105" s="84" t="n">
        <f aca="false">AVERAGE(J103:J105)^12/100^11-100</f>
        <v>6.46395002175899</v>
      </c>
    </row>
    <row r="106" customFormat="false" ht="16.4" hidden="false" customHeight="false" outlineLevel="0" collapsed="false">
      <c r="A106" s="109" t="n">
        <v>43313</v>
      </c>
      <c r="B106" s="58" t="n">
        <v>-0.05</v>
      </c>
      <c r="C106" s="4" t="n">
        <f aca="false">B106+100</f>
        <v>99.95</v>
      </c>
      <c r="D106" s="112" t="n">
        <f aca="false">C106*D105/100</f>
        <v>192.178402153276</v>
      </c>
      <c r="E106" s="113" t="n">
        <v>102.35</v>
      </c>
      <c r="F106" s="110" t="n">
        <v>192.845480850463</v>
      </c>
      <c r="G106" s="4" t="n">
        <f aca="false">F106/F105*100</f>
        <v>99.7398744480796</v>
      </c>
      <c r="H106" s="84" t="n">
        <f aca="false">AVERAGE(G104:G106)^12/100^11-100</f>
        <v>2.85562993173178</v>
      </c>
      <c r="J106" s="58" t="n">
        <v>100.37</v>
      </c>
      <c r="K106" s="84" t="n">
        <f aca="false">AVERAGE(J104:J106)^12/100^11-100</f>
        <v>7.35700662123239</v>
      </c>
    </row>
    <row r="107" customFormat="false" ht="16.4" hidden="false" customHeight="false" outlineLevel="0" collapsed="false">
      <c r="A107" s="109" t="n">
        <v>43344</v>
      </c>
      <c r="B107" s="58" t="n">
        <v>-0.3</v>
      </c>
      <c r="C107" s="4" t="n">
        <f aca="false">B107+100</f>
        <v>99.7</v>
      </c>
      <c r="D107" s="112" t="n">
        <f aca="false">C107*D106/100</f>
        <v>191.601866946816</v>
      </c>
      <c r="E107" s="113" t="n">
        <v>102.18</v>
      </c>
      <c r="F107" s="110" t="n">
        <v>192.859278562708</v>
      </c>
      <c r="G107" s="4" t="n">
        <f aca="false">F107/F106*100</f>
        <v>100.007154801961</v>
      </c>
      <c r="H107" s="84" t="n">
        <f aca="false">AVERAGE(G105:G107)^12/100^11-100</f>
        <v>0.977677304159514</v>
      </c>
      <c r="J107" s="58" t="n">
        <v>100.17</v>
      </c>
      <c r="K107" s="84" t="n">
        <f aca="false">AVERAGE(J105:J107)^12/100^11-100</f>
        <v>4.65652156845651</v>
      </c>
    </row>
    <row r="108" customFormat="false" ht="16.4" hidden="false" customHeight="false" outlineLevel="0" collapsed="false">
      <c r="A108" s="109" t="n">
        <v>43374</v>
      </c>
      <c r="B108" s="58" t="n">
        <v>0.09</v>
      </c>
      <c r="C108" s="4" t="n">
        <f aca="false">B108+100</f>
        <v>100.09</v>
      </c>
      <c r="D108" s="112" t="n">
        <f aca="false">C108*D107/100</f>
        <v>191.774308627068</v>
      </c>
      <c r="E108" s="113" t="n">
        <v>102.11</v>
      </c>
      <c r="F108" s="110" t="n">
        <v>194.374984111552</v>
      </c>
      <c r="G108" s="4" t="n">
        <f aca="false">F108/F107*100</f>
        <v>100.785912692477</v>
      </c>
      <c r="H108" s="84" t="n">
        <f aca="false">AVERAGE(G106:G108)^12/100^11-100</f>
        <v>2.15272025798664</v>
      </c>
      <c r="J108" s="58" t="n">
        <v>100.01</v>
      </c>
      <c r="K108" s="84" t="n">
        <f aca="false">AVERAGE(J106:J108)^12/100^11-100</f>
        <v>2.22231945899691</v>
      </c>
    </row>
    <row r="109" customFormat="false" ht="16.4" hidden="false" customHeight="false" outlineLevel="0" collapsed="false">
      <c r="A109" s="109" t="n">
        <v>43405</v>
      </c>
      <c r="B109" s="58" t="n">
        <v>0.87</v>
      </c>
      <c r="C109" s="4" t="n">
        <f aca="false">B109+100</f>
        <v>100.87</v>
      </c>
      <c r="D109" s="112" t="n">
        <f aca="false">C109*D108/100</f>
        <v>193.442745112124</v>
      </c>
      <c r="E109" s="113" t="n">
        <v>102.81</v>
      </c>
      <c r="F109" s="110" t="n">
        <v>196.003560138123</v>
      </c>
      <c r="G109" s="4" t="n">
        <f aca="false">F109/F108*100</f>
        <v>100.837852686659</v>
      </c>
      <c r="H109" s="84" t="n">
        <f aca="false">AVERAGE(G107:G109)^12/100^11-100</f>
        <v>6.72231845590432</v>
      </c>
      <c r="J109" s="58" t="n">
        <v>100.73</v>
      </c>
      <c r="K109" s="84" t="n">
        <f aca="false">AVERAGE(J107:J109)^12/100^11-100</f>
        <v>3.7013455652513</v>
      </c>
    </row>
    <row r="110" customFormat="false" ht="16.4" hidden="false" customHeight="false" outlineLevel="0" collapsed="false">
      <c r="A110" s="109" t="n">
        <v>43435</v>
      </c>
      <c r="B110" s="58" t="n">
        <v>1.08</v>
      </c>
      <c r="C110" s="4" t="n">
        <f aca="false">B110+100</f>
        <v>101.08</v>
      </c>
      <c r="D110" s="112" t="n">
        <f aca="false">C110*D109/100</f>
        <v>195.531926759335</v>
      </c>
      <c r="E110" s="113" t="n">
        <v>103.47</v>
      </c>
      <c r="F110" s="110" t="n">
        <v>197.592318735714</v>
      </c>
      <c r="G110" s="4" t="n">
        <f aca="false">F110/F109*100</f>
        <v>100.810576397935</v>
      </c>
      <c r="H110" s="84" t="n">
        <f aca="false">AVERAGE(G108:G110)^12/100^11-100</f>
        <v>10.1839138052502</v>
      </c>
      <c r="J110" s="58" t="n">
        <v>100.87</v>
      </c>
      <c r="K110" s="84" t="n">
        <f aca="false">AVERAGE(J108:J110)^12/100^11-100</f>
        <v>6.63352919975677</v>
      </c>
    </row>
    <row r="111" customFormat="false" ht="16.4" hidden="false" customHeight="false" outlineLevel="0" collapsed="false">
      <c r="A111" s="109" t="n">
        <v>43466</v>
      </c>
      <c r="B111" s="58" t="n">
        <v>1.14</v>
      </c>
      <c r="C111" s="4" t="n">
        <f aca="false">B111+100</f>
        <v>101.14</v>
      </c>
      <c r="D111" s="112" t="n">
        <f aca="false">C111*D110/100</f>
        <v>197.760990724391</v>
      </c>
      <c r="E111" s="113" t="n">
        <v>104.68</v>
      </c>
      <c r="F111" s="110" t="n">
        <v>198.491255491145</v>
      </c>
      <c r="G111" s="4" t="n">
        <f aca="false">F111/F110*100</f>
        <v>100.4549451928</v>
      </c>
      <c r="H111" s="84" t="n">
        <f aca="false">AVERAGE(G109:G111)^12/100^11-100</f>
        <v>8.74564062325199</v>
      </c>
      <c r="J111" s="58" t="n">
        <v>100.65</v>
      </c>
      <c r="K111" s="84" t="n">
        <f aca="false">AVERAGE(J109:J111)^12/100^11-100</f>
        <v>9.38068976709832</v>
      </c>
    </row>
    <row r="112" customFormat="false" ht="16.4" hidden="false" customHeight="false" outlineLevel="0" collapsed="false">
      <c r="A112" s="109" t="n">
        <v>43497</v>
      </c>
      <c r="B112" s="58" t="n">
        <v>0.71</v>
      </c>
      <c r="C112" s="4" t="n">
        <f aca="false">B112+100</f>
        <v>100.71</v>
      </c>
      <c r="D112" s="112" t="n">
        <f aca="false">C112*D111/100</f>
        <v>199.165093758534</v>
      </c>
      <c r="E112" s="113" t="n">
        <v>105.07</v>
      </c>
      <c r="F112" s="110" t="n">
        <v>199.232768488262</v>
      </c>
      <c r="G112" s="4" t="n">
        <f aca="false">F112/F111*100</f>
        <v>100.373574642007</v>
      </c>
      <c r="H112" s="84" t="n">
        <f aca="false">AVERAGE(G110:G112)^12/100^11-100</f>
        <v>6.75703760012181</v>
      </c>
      <c r="J112" s="58" t="n">
        <v>100.32</v>
      </c>
      <c r="K112" s="84" t="n">
        <f aca="false">AVERAGE(J110:J112)^12/100^11-100</f>
        <v>7.61342396513555</v>
      </c>
    </row>
    <row r="113" customFormat="false" ht="16.4" hidden="false" customHeight="false" outlineLevel="0" collapsed="false">
      <c r="A113" s="109" t="n">
        <v>43525</v>
      </c>
      <c r="B113" s="58" t="n">
        <v>0.55</v>
      </c>
      <c r="C113" s="4" t="n">
        <f aca="false">B113+100</f>
        <v>100.55</v>
      </c>
      <c r="D113" s="112" t="n">
        <f aca="false">C113*D112/100</f>
        <v>200.260501774206</v>
      </c>
      <c r="E113" s="113" t="n">
        <v>105.56</v>
      </c>
      <c r="F113" s="110" t="n">
        <v>199.955686316571</v>
      </c>
      <c r="G113" s="4" t="n">
        <f aca="false">F113/F112*100</f>
        <v>100.362850867252</v>
      </c>
      <c r="H113" s="84" t="n">
        <f aca="false">AVERAGE(G111:G113)^12/100^11-100</f>
        <v>4.87095974532981</v>
      </c>
      <c r="J113" s="58" t="n">
        <v>100.29</v>
      </c>
      <c r="K113" s="84" t="n">
        <f aca="false">AVERAGE(J111:J113)^12/100^11-100</f>
        <v>5.1580694429117</v>
      </c>
    </row>
    <row r="114" customFormat="false" ht="16.4" hidden="false" customHeight="false" outlineLevel="0" collapsed="false">
      <c r="A114" s="109" t="n">
        <v>43556</v>
      </c>
      <c r="B114" s="58" t="n">
        <v>0.59</v>
      </c>
      <c r="C114" s="4" t="n">
        <f aca="false">B114+100</f>
        <v>100.59</v>
      </c>
      <c r="D114" s="112" t="n">
        <f aca="false">C114*D113/100</f>
        <v>201.442038734674</v>
      </c>
      <c r="E114" s="113" t="n">
        <v>105.65</v>
      </c>
      <c r="F114" s="110" t="n">
        <v>201.186298255772</v>
      </c>
      <c r="G114" s="4" t="n">
        <f aca="false">F114/F113*100</f>
        <v>100.615442332184</v>
      </c>
      <c r="H114" s="84" t="n">
        <f aca="false">AVERAGE(G112:G114)^12/100^11-100</f>
        <v>5.54352509557741</v>
      </c>
      <c r="J114" s="58" t="n">
        <v>100.39</v>
      </c>
      <c r="K114" s="84" t="n">
        <f aca="false">AVERAGE(J112:J114)^12/100^11-100</f>
        <v>4.07415429197891</v>
      </c>
    </row>
    <row r="115" customFormat="false" ht="16.4" hidden="false" customHeight="false" outlineLevel="0" collapsed="false">
      <c r="A115" s="109" t="n">
        <v>43586</v>
      </c>
      <c r="B115" s="58" t="n">
        <v>0.53</v>
      </c>
      <c r="C115" s="4" t="n">
        <f aca="false">B115+100</f>
        <v>100.53</v>
      </c>
      <c r="D115" s="112" t="n">
        <f aca="false">C115*D114/100</f>
        <v>202.509681539968</v>
      </c>
      <c r="E115" s="113" t="n">
        <v>106.12</v>
      </c>
      <c r="F115" s="110" t="n">
        <v>201.11477282197</v>
      </c>
      <c r="G115" s="4" t="n">
        <f aca="false">F115/F114*100</f>
        <v>99.9644481585366</v>
      </c>
      <c r="H115" s="84" t="n">
        <f aca="false">AVERAGE(G113:G115)^12/100^11-100</f>
        <v>3.83682882023865</v>
      </c>
      <c r="J115" s="58" t="n">
        <v>100.58</v>
      </c>
      <c r="K115" s="84" t="n">
        <f aca="false">AVERAGE(J113:J115)^12/100^11-100</f>
        <v>5.1580694429117</v>
      </c>
    </row>
    <row r="116" customFormat="false" ht="16.4" hidden="false" customHeight="false" outlineLevel="0" collapsed="false">
      <c r="A116" s="109" t="n">
        <v>43617</v>
      </c>
      <c r="B116" s="58" t="n">
        <v>-0.41</v>
      </c>
      <c r="C116" s="4" t="n">
        <f aca="false">B116+100</f>
        <v>99.59</v>
      </c>
      <c r="D116" s="112" t="n">
        <f aca="false">C116*D115/100</f>
        <v>201.679391845654</v>
      </c>
      <c r="E116" s="113" t="n">
        <v>105.02</v>
      </c>
      <c r="F116" s="110" t="n">
        <v>201.664618523269</v>
      </c>
      <c r="G116" s="4" t="n">
        <f aca="false">F116/F115*100</f>
        <v>100.273398961988</v>
      </c>
      <c r="H116" s="84" t="n">
        <f aca="false">AVERAGE(G114:G116)^12/100^11-100</f>
        <v>3.46706150747131</v>
      </c>
      <c r="J116" s="58" t="n">
        <v>99.83</v>
      </c>
      <c r="K116" s="84" t="n">
        <f aca="false">AVERAGE(J114:J116)^12/100^11-100</f>
        <v>3.24735303234286</v>
      </c>
    </row>
    <row r="117" customFormat="false" ht="16.4" hidden="false" customHeight="false" outlineLevel="0" collapsed="false">
      <c r="A117" s="109" t="n">
        <v>43647</v>
      </c>
      <c r="B117" s="58" t="n">
        <v>-0.08</v>
      </c>
      <c r="C117" s="4" t="n">
        <f aca="false">B117+100</f>
        <v>99.92</v>
      </c>
      <c r="D117" s="112" t="n">
        <f aca="false">C117*D116/100</f>
        <v>201.518048332178</v>
      </c>
      <c r="E117" s="113" t="n">
        <v>104.81</v>
      </c>
      <c r="F117" s="110" t="n">
        <v>202.431733250427</v>
      </c>
      <c r="G117" s="4" t="n">
        <f aca="false">F117/F116*100</f>
        <v>100.380391331298</v>
      </c>
      <c r="H117" s="84" t="n">
        <f aca="false">AVERAGE(G115:G117)^12/100^11-100</f>
        <v>2.50117662311708</v>
      </c>
      <c r="J117" s="58" t="n">
        <v>100.47</v>
      </c>
      <c r="K117" s="84" t="n">
        <f aca="false">AVERAGE(J115:J117)^12/100^11-100</f>
        <v>3.57734828887899</v>
      </c>
    </row>
    <row r="118" customFormat="false" ht="16.4" hidden="false" customHeight="false" outlineLevel="0" collapsed="false">
      <c r="A118" s="109" t="n">
        <v>43678</v>
      </c>
      <c r="B118" s="58" t="n">
        <v>-0.17</v>
      </c>
      <c r="C118" s="4" t="n">
        <f aca="false">B118+100</f>
        <v>99.83</v>
      </c>
      <c r="D118" s="112" t="n">
        <f aca="false">C118*D117/100</f>
        <v>201.175467650013</v>
      </c>
      <c r="E118" s="113" t="n">
        <v>104.68</v>
      </c>
      <c r="F118" s="110" t="n">
        <v>201.846018294745</v>
      </c>
      <c r="G118" s="4" t="n">
        <f aca="false">F118/F117*100</f>
        <v>99.7106605045181</v>
      </c>
      <c r="H118" s="84" t="n">
        <f aca="false">AVERAGE(G116:G118)^12/100^11-100</f>
        <v>1.46758319758472</v>
      </c>
      <c r="J118" s="58" t="n">
        <v>100.28</v>
      </c>
      <c r="K118" s="84" t="n">
        <f aca="false">AVERAGE(J116:J118)^12/100^11-100</f>
        <v>2.34482900718913</v>
      </c>
    </row>
    <row r="119" customFormat="false" ht="16.4" hidden="false" customHeight="false" outlineLevel="0" collapsed="false">
      <c r="A119" s="109" t="n">
        <v>43709</v>
      </c>
      <c r="B119" s="58" t="n">
        <v>-0.32</v>
      </c>
      <c r="C119" s="4" t="n">
        <f aca="false">B119+100</f>
        <v>99.68</v>
      </c>
      <c r="D119" s="112" t="n">
        <f aca="false">C119*D118/100</f>
        <v>200.531706153533</v>
      </c>
      <c r="E119" s="113" t="n">
        <v>104.66</v>
      </c>
      <c r="F119" s="110" t="n">
        <v>202.258083566343</v>
      </c>
      <c r="G119" s="4" t="n">
        <f aca="false">F119/F118*100</f>
        <v>100.204148328057</v>
      </c>
      <c r="H119" s="84" t="n">
        <f aca="false">AVERAGE(G117:G119)^12/100^11-100</f>
        <v>1.18721215950885</v>
      </c>
      <c r="J119" s="58" t="n">
        <v>100.1</v>
      </c>
      <c r="K119" s="84" t="n">
        <f aca="false">AVERAGE(J117:J119)^12/100^11-100</f>
        <v>3.45348693602925</v>
      </c>
    </row>
    <row r="120" customFormat="false" ht="16.4" hidden="false" customHeight="false" outlineLevel="0" collapsed="false">
      <c r="A120" s="109" t="n">
        <v>43739</v>
      </c>
      <c r="B120" s="58" t="n">
        <v>0.3</v>
      </c>
      <c r="C120" s="4" t="n">
        <f aca="false">B120+100</f>
        <v>100.3</v>
      </c>
      <c r="D120" s="112" t="n">
        <f aca="false">C120*D119/100</f>
        <v>201.133301271993</v>
      </c>
      <c r="E120" s="113" t="n">
        <v>104.89</v>
      </c>
      <c r="F120" s="110" t="n">
        <v>202.862621669552</v>
      </c>
      <c r="G120" s="4" t="n">
        <f aca="false">F120/F119*100</f>
        <v>100.298894408841</v>
      </c>
      <c r="H120" s="84" t="n">
        <f aca="false">AVERAGE(G118:G120)^12/100^11-100</f>
        <v>0.858169996244101</v>
      </c>
      <c r="J120" s="58" t="n">
        <v>100.19</v>
      </c>
      <c r="K120" s="84" t="n">
        <f aca="false">AVERAGE(J118:J120)^12/100^11-100</f>
        <v>2.30397754505434</v>
      </c>
    </row>
    <row r="121" customFormat="false" ht="16.4" hidden="false" customHeight="false" outlineLevel="0" collapsed="false">
      <c r="A121" s="109" t="n">
        <v>43770</v>
      </c>
      <c r="B121" s="58" t="n">
        <v>0.39</v>
      </c>
      <c r="C121" s="4" t="n">
        <f aca="false">B121+100</f>
        <v>100.39</v>
      </c>
      <c r="D121" s="112" t="n">
        <f aca="false">C121*D120/100</f>
        <v>201.917721146954</v>
      </c>
      <c r="E121" s="113" t="n">
        <v>104.39</v>
      </c>
      <c r="F121" s="110" t="n">
        <v>203.276460284417</v>
      </c>
      <c r="G121" s="4" t="n">
        <f aca="false">F121/F120*100</f>
        <v>100.203999441326</v>
      </c>
      <c r="H121" s="84" t="n">
        <f aca="false">AVERAGE(G119:G121)^12/100^11-100</f>
        <v>2.86511821454293</v>
      </c>
      <c r="J121" s="58" t="n">
        <v>100.31</v>
      </c>
      <c r="K121" s="84" t="n">
        <f aca="false">AVERAGE(J119:J121)^12/100^11-100</f>
        <v>2.42657679454035</v>
      </c>
    </row>
    <row r="122" customFormat="false" ht="16.4" hidden="false" customHeight="false" outlineLevel="0" collapsed="false">
      <c r="A122" s="109" t="n">
        <v>43800</v>
      </c>
      <c r="B122" s="58" t="n">
        <v>0.41</v>
      </c>
      <c r="C122" s="4" t="n">
        <f aca="false">B122+100</f>
        <v>100.41</v>
      </c>
      <c r="D122" s="112" t="n">
        <f aca="false">C122*D121/100</f>
        <v>202.745583803657</v>
      </c>
      <c r="E122" s="113" t="n">
        <v>103.69</v>
      </c>
      <c r="F122" s="110" t="n">
        <v>203.593267881246</v>
      </c>
      <c r="G122" s="4" t="n">
        <f aca="false">F122/F121*100</f>
        <v>100.155850606797</v>
      </c>
      <c r="H122" s="84" t="n">
        <f aca="false">AVERAGE(G120:G122)^12/100^11-100</f>
        <v>2.66703448335426</v>
      </c>
      <c r="J122" s="58" t="n">
        <v>100.24</v>
      </c>
      <c r="K122" s="84" t="n">
        <f aca="false">AVERAGE(J120:J122)^12/100^11-100</f>
        <v>3.00048935561804</v>
      </c>
    </row>
    <row r="123" customFormat="false" ht="16.4" hidden="false" customHeight="false" outlineLevel="0" collapsed="false">
      <c r="A123" s="109" t="n">
        <v>43831</v>
      </c>
      <c r="B123" s="58" t="n">
        <v>0.5</v>
      </c>
      <c r="C123" s="4" t="n">
        <f aca="false">B123+100</f>
        <v>100.5</v>
      </c>
      <c r="D123" s="112" t="n">
        <f aca="false">C123*D122/100</f>
        <v>203.759311722675</v>
      </c>
      <c r="E123" s="113" t="n">
        <v>103.03</v>
      </c>
      <c r="F123" s="110" t="n">
        <v>203.863193759943</v>
      </c>
      <c r="G123" s="4" t="n">
        <f aca="false">F123/F122*100</f>
        <v>100.13258094509</v>
      </c>
      <c r="H123" s="84" t="n">
        <f aca="false">AVERAGE(G121:G123)^12/100^11-100</f>
        <v>1.98760410324302</v>
      </c>
      <c r="J123" s="58" t="n">
        <v>100.03</v>
      </c>
      <c r="K123" s="84" t="n">
        <f aca="false">AVERAGE(J121:J123)^12/100^11-100</f>
        <v>2.34482900718913</v>
      </c>
    </row>
    <row r="124" customFormat="false" ht="16.4" hidden="false" customHeight="false" outlineLevel="0" collapsed="false">
      <c r="A124" s="109" t="n">
        <v>43862</v>
      </c>
      <c r="B124" s="58" t="n">
        <v>0.4</v>
      </c>
      <c r="C124" s="4" t="n">
        <f aca="false">B124+100</f>
        <v>100.4</v>
      </c>
      <c r="D124" s="112" t="n">
        <f aca="false">C124*D123/100</f>
        <v>204.574348969566</v>
      </c>
      <c r="E124" s="113" t="n">
        <v>102.71</v>
      </c>
      <c r="F124" s="110" t="n">
        <v>204.850338707614</v>
      </c>
      <c r="G124" s="4" t="n">
        <f aca="false">F124/F123*100</f>
        <v>100.484219308775</v>
      </c>
      <c r="H124" s="84" t="n">
        <f aca="false">AVERAGE(G122:G124)^12/100^11-100</f>
        <v>3.13476069382614</v>
      </c>
      <c r="J124" s="58" t="n">
        <v>99.93</v>
      </c>
      <c r="K124" s="84" t="n">
        <f aca="false">AVERAGE(J122:J124)^12/100^11-100</f>
        <v>0.802939861640027</v>
      </c>
    </row>
    <row r="125" customFormat="false" ht="16.4" hidden="false" customHeight="false" outlineLevel="0" collapsed="false">
      <c r="A125" s="109" t="n">
        <v>43891</v>
      </c>
      <c r="B125" s="58" t="n">
        <v>0.67</v>
      </c>
      <c r="C125" s="4" t="n">
        <f aca="false">B125+100</f>
        <v>100.67</v>
      </c>
      <c r="D125" s="112" t="n">
        <f aca="false">C125*D124/100</f>
        <v>205.944997107662</v>
      </c>
      <c r="E125" s="113" t="n">
        <v>102.84</v>
      </c>
      <c r="F125" s="110" t="n">
        <v>207.061713653518</v>
      </c>
      <c r="G125" s="4" t="n">
        <f aca="false">F125/F124*100</f>
        <v>101.079507585809</v>
      </c>
      <c r="H125" s="84" t="n">
        <f aca="false">AVERAGE(G123:G125)^12/100^11-100</f>
        <v>7.00027333124427</v>
      </c>
      <c r="J125" s="58" t="n">
        <v>100.42</v>
      </c>
      <c r="K125" s="84" t="n">
        <f aca="false">AVERAGE(J123:J125)^12/100^11-100</f>
        <v>1.53063417153544</v>
      </c>
    </row>
    <row r="126" customFormat="false" ht="16.4" hidden="false" customHeight="false" outlineLevel="0" collapsed="false">
      <c r="A126" s="109" t="n">
        <v>43922</v>
      </c>
      <c r="B126" s="58" t="n">
        <v>1.3</v>
      </c>
      <c r="C126" s="4" t="n">
        <f aca="false">B126+100</f>
        <v>101.3</v>
      </c>
      <c r="D126" s="112" t="n">
        <f aca="false">C126*D125/100</f>
        <v>208.622282070061</v>
      </c>
      <c r="E126" s="113" t="n">
        <v>103.57</v>
      </c>
      <c r="F126" s="110" t="n">
        <v>207.522602573337</v>
      </c>
      <c r="G126" s="4" t="n">
        <f aca="false">F126/F125*100</f>
        <v>100.222585291934</v>
      </c>
      <c r="H126" s="84" t="n">
        <f aca="false">AVERAGE(G124:G126)^12/100^11-100</f>
        <v>7.38395613731085</v>
      </c>
      <c r="J126" s="58" t="n">
        <v>101.06</v>
      </c>
      <c r="K126" s="84" t="n">
        <f aca="false">AVERAGE(J124:J126)^12/100^11-100</f>
        <v>5.78810244306239</v>
      </c>
    </row>
    <row r="127" customFormat="false" ht="16.4" hidden="false" customHeight="false" outlineLevel="0" collapsed="false">
      <c r="A127" s="109" t="n">
        <v>43952</v>
      </c>
      <c r="B127" s="58" t="n">
        <v>0.12</v>
      </c>
      <c r="C127" s="4" t="n">
        <f aca="false">B127+100</f>
        <v>100.12</v>
      </c>
      <c r="D127" s="112" t="n">
        <f aca="false">C127*D126/100</f>
        <v>208.872628808546</v>
      </c>
      <c r="E127" s="113" t="n">
        <v>103.14</v>
      </c>
      <c r="F127" s="110" t="n">
        <v>208.339912842351</v>
      </c>
      <c r="G127" s="4" t="n">
        <f aca="false">F127/F126*100</f>
        <v>100.393841566595</v>
      </c>
      <c r="H127" s="84" t="n">
        <f aca="false">AVERAGE(G125:G127)^12/100^11-100</f>
        <v>6.99868419156887</v>
      </c>
      <c r="J127" s="58" t="n">
        <v>100.19</v>
      </c>
      <c r="K127" s="84" t="n">
        <f aca="false">AVERAGE(J125:J127)^12/100^11-100</f>
        <v>6.88836226129691</v>
      </c>
    </row>
    <row r="128" customFormat="false" ht="16.4" hidden="false" customHeight="false" outlineLevel="0" collapsed="false">
      <c r="A128" s="109" t="n">
        <v>43983</v>
      </c>
      <c r="B128" s="58" t="n">
        <v>0.01</v>
      </c>
      <c r="C128" s="4" t="n">
        <f aca="false">B128+100</f>
        <v>100.01</v>
      </c>
      <c r="D128" s="112" t="n">
        <f aca="false">C128*D127/100</f>
        <v>208.893516071426</v>
      </c>
      <c r="E128" s="113" t="n">
        <v>103.57</v>
      </c>
      <c r="F128" s="110" t="n">
        <v>208.768284671564</v>
      </c>
      <c r="G128" s="4" t="n">
        <f aca="false">F128/F127*100</f>
        <v>100.205611984458</v>
      </c>
      <c r="H128" s="84" t="n">
        <f aca="false">AVERAGE(G126:G128)^12/100^11-100</f>
        <v>3.33816564007797</v>
      </c>
      <c r="J128" s="58" t="n">
        <v>100.35</v>
      </c>
      <c r="K128" s="84" t="n">
        <f aca="false">AVERAGE(J126:J128)^12/100^11-100</f>
        <v>6.59111120848711</v>
      </c>
    </row>
    <row r="129" customFormat="false" ht="16.4" hidden="false" customHeight="false" outlineLevel="0" collapsed="false">
      <c r="A129" s="109" t="n">
        <v>44013</v>
      </c>
      <c r="B129" s="58" t="n">
        <v>-0.15</v>
      </c>
      <c r="C129" s="4" t="n">
        <f aca="false">B129+100</f>
        <v>99.85</v>
      </c>
      <c r="D129" s="112" t="n">
        <f aca="false">C129*D128/100</f>
        <v>208.580175797319</v>
      </c>
      <c r="E129" s="113" t="n">
        <v>103.5</v>
      </c>
      <c r="F129" s="110" t="n">
        <v>210.168075272609</v>
      </c>
      <c r="G129" s="4" t="n">
        <f aca="false">F129/F128*100</f>
        <v>100.670499641862</v>
      </c>
      <c r="H129" s="84" t="n">
        <f aca="false">AVERAGE(G127:G129)^12/100^11-100</f>
        <v>5.19976825841302</v>
      </c>
      <c r="J129" s="58" t="n">
        <v>100.5</v>
      </c>
      <c r="K129" s="84" t="n">
        <f aca="false">AVERAGE(J127:J129)^12/100^11-100</f>
        <v>4.24024107813534</v>
      </c>
    </row>
    <row r="130" customFormat="false" ht="16.4" hidden="false" customHeight="false" outlineLevel="0" collapsed="false">
      <c r="A130" s="109" t="n">
        <v>44044</v>
      </c>
      <c r="B130" s="58" t="n">
        <v>0.11</v>
      </c>
      <c r="C130" s="4" t="n">
        <f aca="false">B130+100</f>
        <v>100.11</v>
      </c>
      <c r="D130" s="112" t="n">
        <f aca="false">C130*D129/100</f>
        <v>208.809613990696</v>
      </c>
      <c r="E130" s="113" t="n">
        <v>103.79</v>
      </c>
      <c r="F130" s="110" t="n">
        <v>210.45291326355</v>
      </c>
      <c r="G130" s="4" t="n">
        <f aca="false">F130/F129*100</f>
        <v>100.135528667031</v>
      </c>
      <c r="H130" s="84" t="n">
        <f aca="false">AVERAGE(G128:G130)^12/100^11-100</f>
        <v>4.1224617228595</v>
      </c>
      <c r="J130" s="58" t="n">
        <v>100.6</v>
      </c>
      <c r="K130" s="84" t="n">
        <f aca="false">AVERAGE(J128:J130)^12/100^11-100</f>
        <v>5.95669462244578</v>
      </c>
    </row>
    <row r="131" customFormat="false" ht="16.4" hidden="false" customHeight="false" outlineLevel="0" collapsed="false">
      <c r="A131" s="109" t="n">
        <v>44075</v>
      </c>
      <c r="B131" s="58" t="n">
        <v>0.13</v>
      </c>
      <c r="C131" s="4" t="n">
        <f aca="false">B131+100</f>
        <v>100.13</v>
      </c>
      <c r="D131" s="112" t="n">
        <f aca="false">C131*D130/100</f>
        <v>209.081066488884</v>
      </c>
      <c r="E131" s="113" t="n">
        <v>104.26</v>
      </c>
      <c r="F131" s="110" t="n">
        <v>211.26750231937</v>
      </c>
      <c r="G131" s="4" t="n">
        <f aca="false">F131/F130*100</f>
        <v>100.387064756286</v>
      </c>
      <c r="H131" s="84" t="n">
        <f aca="false">AVERAGE(G129:G131)^12/100^11-100</f>
        <v>4.8781564277871</v>
      </c>
      <c r="J131" s="58" t="n">
        <v>100.57</v>
      </c>
      <c r="K131" s="84" t="n">
        <f aca="false">AVERAGE(J129:J131)^12/100^11-100</f>
        <v>6.88836226129672</v>
      </c>
    </row>
    <row r="132" customFormat="false" ht="16.4" hidden="false" customHeight="false" outlineLevel="0" collapsed="false">
      <c r="A132" s="109" t="n">
        <v>44105</v>
      </c>
      <c r="B132" s="58" t="n">
        <v>0.5</v>
      </c>
      <c r="C132" s="4" t="n">
        <f aca="false">B132+100</f>
        <v>100.5</v>
      </c>
      <c r="D132" s="112" t="n">
        <f aca="false">C132*D131/100</f>
        <v>210.126471821329</v>
      </c>
      <c r="E132" s="113" t="n">
        <v>104.47</v>
      </c>
      <c r="F132" s="110" t="n">
        <v>212.71260099406</v>
      </c>
      <c r="G132" s="4" t="n">
        <f aca="false">F132/F131*100</f>
        <v>100.684013707184</v>
      </c>
      <c r="H132" s="84" t="n">
        <f aca="false">AVERAGE(G130:G132)^12/100^11-100</f>
        <v>4.93463900081261</v>
      </c>
      <c r="J132" s="58" t="n">
        <v>100.33</v>
      </c>
      <c r="K132" s="84" t="n">
        <f aca="false">AVERAGE(J130:J132)^12/100^11-100</f>
        <v>6.16778118644996</v>
      </c>
    </row>
    <row r="133" customFormat="false" ht="16.4" hidden="false" customHeight="false" outlineLevel="0" collapsed="false">
      <c r="A133" s="109" t="n">
        <v>44136</v>
      </c>
      <c r="B133" s="58" t="n">
        <v>0.78</v>
      </c>
      <c r="C133" s="4" t="n">
        <f aca="false">B133+100</f>
        <v>100.78</v>
      </c>
      <c r="D133" s="112" t="n">
        <f aca="false">C133*D132/100</f>
        <v>211.765458301535</v>
      </c>
      <c r="E133" s="113" t="n">
        <v>104.87</v>
      </c>
      <c r="F133" s="110" t="n">
        <v>214.261809671961</v>
      </c>
      <c r="G133" s="4" t="n">
        <f aca="false">F133/F132*100</f>
        <v>100.728310720973</v>
      </c>
      <c r="H133" s="84" t="n">
        <f aca="false">AVERAGE(G131:G133)^12/100^11-100</f>
        <v>7.43980735791484</v>
      </c>
      <c r="J133" s="58" t="n">
        <v>100.62</v>
      </c>
      <c r="K133" s="84" t="n">
        <f aca="false">AVERAGE(J131:J133)^12/100^11-100</f>
        <v>6.25232369332863</v>
      </c>
    </row>
    <row r="134" customFormat="false" ht="16.4" hidden="false" customHeight="false" outlineLevel="0" collapsed="false">
      <c r="A134" s="109" t="n">
        <v>44166</v>
      </c>
      <c r="B134" s="58" t="n">
        <v>0.9</v>
      </c>
      <c r="C134" s="4" t="n">
        <f aca="false">B134+100</f>
        <v>100.9</v>
      </c>
      <c r="D134" s="112" t="n">
        <f aca="false">C134*D133/100</f>
        <v>213.671347426249</v>
      </c>
      <c r="E134" s="113" t="n">
        <v>105.39</v>
      </c>
      <c r="F134" s="110" t="n">
        <v>214.766019912882</v>
      </c>
      <c r="G134" s="4" t="n">
        <f aca="false">F134/F133*100</f>
        <v>100.235324364007</v>
      </c>
      <c r="H134" s="84" t="n">
        <f aca="false">AVERAGE(G132:G134)^12/100^11-100</f>
        <v>6.79336664304275</v>
      </c>
      <c r="J134" s="58" t="n">
        <v>100.68</v>
      </c>
      <c r="K134" s="84" t="n">
        <f aca="false">AVERAGE(J132:J134)^12/100^11-100</f>
        <v>6.71841160661074</v>
      </c>
    </row>
    <row r="135" customFormat="false" ht="16.4" hidden="false" customHeight="false" outlineLevel="0" collapsed="false">
      <c r="A135" s="109" t="n">
        <v>44197</v>
      </c>
      <c r="B135" s="58" t="n">
        <v>0.6</v>
      </c>
      <c r="C135" s="4" t="n">
        <f aca="false">B135+100</f>
        <v>100.6</v>
      </c>
      <c r="D135" s="112" t="n">
        <f aca="false">C135*D134/100</f>
        <v>214.953375510806</v>
      </c>
      <c r="E135" s="113" t="n">
        <v>105.49</v>
      </c>
      <c r="F135" s="110" t="n">
        <v>216.364768452585</v>
      </c>
      <c r="G135" s="4" t="n">
        <f aca="false">F135/F134*100</f>
        <v>100.744414102544</v>
      </c>
      <c r="H135" s="84" t="n">
        <f aca="false">AVERAGE(G133:G135)^12/100^11-100</f>
        <v>7.05025457445495</v>
      </c>
      <c r="J135" s="58" t="n">
        <v>100.12</v>
      </c>
      <c r="K135" s="84" t="n">
        <f aca="false">AVERAGE(J133:J135)^12/100^11-100</f>
        <v>5.83022741900973</v>
      </c>
    </row>
    <row r="136" customFormat="false" ht="16.4" hidden="false" customHeight="false" outlineLevel="0" collapsed="false">
      <c r="A136" s="109" t="n">
        <v>44228</v>
      </c>
      <c r="B136" s="58" t="n">
        <v>1.03</v>
      </c>
      <c r="C136" s="4" t="n">
        <f aca="false">B136+100</f>
        <v>101.03</v>
      </c>
      <c r="D136" s="112" t="n">
        <f aca="false">C136*D135/100</f>
        <v>217.167395278568</v>
      </c>
      <c r="E136" s="113" t="n">
        <v>106.16</v>
      </c>
      <c r="F136" s="110" t="n">
        <v>218.790058469081</v>
      </c>
      <c r="G136" s="4" t="n">
        <f aca="false">F136/F135*100</f>
        <v>101.120926495493</v>
      </c>
      <c r="H136" s="84" t="n">
        <f aca="false">AVERAGE(G134:G136)^12/100^11-100</f>
        <v>8.7339382037556</v>
      </c>
      <c r="J136" s="58" t="n">
        <v>100.56</v>
      </c>
      <c r="K136" s="84" t="n">
        <f aca="false">AVERAGE(J134:J136)^12/100^11-100</f>
        <v>5.57770802282748</v>
      </c>
    </row>
    <row r="137" customFormat="false" ht="16.4" hidden="false" customHeight="false" outlineLevel="0" collapsed="false">
      <c r="A137" s="109" t="n">
        <v>44256</v>
      </c>
      <c r="B137" s="58" t="n">
        <v>1.31</v>
      </c>
      <c r="C137" s="4" t="n">
        <f aca="false">B137+100</f>
        <v>101.31</v>
      </c>
      <c r="D137" s="112" t="n">
        <f aca="false">C137*D136/100</f>
        <v>220.012288156717</v>
      </c>
      <c r="E137" s="113" t="n">
        <v>106.83</v>
      </c>
      <c r="F137" s="110" t="n">
        <v>220.241833390074</v>
      </c>
      <c r="G137" s="4" t="n">
        <f aca="false">F137/F136*100</f>
        <v>100.663547023641</v>
      </c>
      <c r="H137" s="84" t="n">
        <f aca="false">AVERAGE(G135:G137)^12/100^11-100</f>
        <v>10.5979684296573</v>
      </c>
      <c r="J137" s="58" t="n">
        <v>100.92</v>
      </c>
      <c r="K137" s="84" t="n">
        <f aca="false">AVERAGE(J135:J137)^12/100^11-100</f>
        <v>6.59111120848711</v>
      </c>
    </row>
    <row r="138" customFormat="false" ht="16.4" hidden="false" customHeight="false" outlineLevel="0" collapsed="false">
      <c r="A138" s="109" t="n">
        <v>44287</v>
      </c>
      <c r="B138" s="58" t="n">
        <v>0.86</v>
      </c>
      <c r="C138" s="4" t="n">
        <f aca="false">B138+100</f>
        <v>100.86</v>
      </c>
      <c r="D138" s="112" t="n">
        <f aca="false">C138*D137/100</f>
        <v>221.904393834865</v>
      </c>
      <c r="E138" s="113" t="n">
        <v>106.37</v>
      </c>
      <c r="F138" s="110" t="n">
        <v>221.40894399053</v>
      </c>
      <c r="G138" s="4" t="n">
        <f aca="false">F138/F137*100</f>
        <v>100.529922305173</v>
      </c>
      <c r="H138" s="84" t="n">
        <f aca="false">AVERAGE(G136:G138)^12/100^11-100</f>
        <v>9.66066671268247</v>
      </c>
      <c r="J138" s="58" t="n">
        <v>100.64</v>
      </c>
      <c r="K138" s="84" t="n">
        <f aca="false">AVERAGE(J136:J138)^12/100^11-100</f>
        <v>8.81747784267344</v>
      </c>
    </row>
    <row r="139" customFormat="false" ht="16.4" hidden="false" customHeight="false" outlineLevel="0" collapsed="false">
      <c r="A139" s="109" t="n">
        <v>44317</v>
      </c>
      <c r="B139" s="58" t="n">
        <v>0.41</v>
      </c>
      <c r="C139" s="4" t="n">
        <f aca="false">B139+100</f>
        <v>100.41</v>
      </c>
      <c r="D139" s="112" t="n">
        <f aca="false">C139*D138/100</f>
        <v>222.814201849588</v>
      </c>
      <c r="E139" s="113" t="n">
        <v>106.69</v>
      </c>
      <c r="F139" s="110" t="n">
        <v>223.516453425889</v>
      </c>
      <c r="G139" s="4" t="n">
        <f aca="false">F139/F138*100</f>
        <v>100.95186282784</v>
      </c>
      <c r="H139" s="84" t="n">
        <f aca="false">AVERAGE(G137:G139)^12/100^11-100</f>
        <v>8.92701787921959</v>
      </c>
      <c r="J139" s="58" t="n">
        <v>100.55</v>
      </c>
      <c r="K139" s="84" t="n">
        <f aca="false">AVERAGE(J137:J139)^12/100^11-100</f>
        <v>8.77426415136657</v>
      </c>
    </row>
    <row r="140" customFormat="false" ht="16.4" hidden="false" customHeight="false" outlineLevel="0" collapsed="false">
      <c r="A140" s="109" t="n">
        <v>44348</v>
      </c>
      <c r="B140" s="58" t="n">
        <v>0.56</v>
      </c>
      <c r="C140" s="4" t="n">
        <f aca="false">B140+100</f>
        <v>100.56</v>
      </c>
      <c r="D140" s="112" t="n">
        <f aca="false">C140*D139/100</f>
        <v>224.061961379945</v>
      </c>
      <c r="E140" s="113" t="n">
        <v>107.27</v>
      </c>
      <c r="F140" s="110" t="n">
        <v>224.801066546056</v>
      </c>
      <c r="G140" s="4" t="n">
        <f aca="false">F140/F139*100</f>
        <v>100.574728661124</v>
      </c>
      <c r="H140" s="84" t="n">
        <f aca="false">AVERAGE(G138:G140)^12/100^11-100</f>
        <v>8.54339747644058</v>
      </c>
      <c r="J140" s="58" t="n">
        <v>100.91</v>
      </c>
      <c r="K140" s="84" t="n">
        <f aca="false">AVERAGE(J138:J140)^12/100^11-100</f>
        <v>8.73106619155071</v>
      </c>
    </row>
    <row r="141" customFormat="false" ht="16.4" hidden="false" customHeight="false" outlineLevel="0" collapsed="false">
      <c r="A141" s="109" t="n">
        <v>44378</v>
      </c>
      <c r="B141" s="58" t="n">
        <v>0.22</v>
      </c>
      <c r="C141" s="4" t="n">
        <f aca="false">B141+100</f>
        <v>100.22</v>
      </c>
      <c r="D141" s="112" t="n">
        <f aca="false">C141*D140/100</f>
        <v>224.554897694981</v>
      </c>
      <c r="E141" s="113" t="n">
        <v>107.66</v>
      </c>
      <c r="F141" s="110" t="n">
        <v>226.450497250588</v>
      </c>
      <c r="G141" s="4" t="n">
        <f aca="false">F141/F140*100</f>
        <v>100.733729038689</v>
      </c>
      <c r="H141" s="84" t="n">
        <f aca="false">AVERAGE(G139:G141)^12/100^11-100</f>
        <v>9.42551670347901</v>
      </c>
      <c r="J141" s="58" t="n">
        <v>101.05</v>
      </c>
      <c r="K141" s="84" t="n">
        <f aca="false">AVERAGE(J139:J141)^12/100^11-100</f>
        <v>10.5151380411808</v>
      </c>
    </row>
    <row r="142" customFormat="false" ht="16.4" hidden="false" customHeight="false" outlineLevel="0" collapsed="false">
      <c r="A142" s="109" t="n">
        <v>44409</v>
      </c>
      <c r="B142" s="58" t="n">
        <v>0.16</v>
      </c>
      <c r="C142" s="4" t="n">
        <f aca="false">B142+100</f>
        <v>100.16</v>
      </c>
      <c r="D142" s="112" t="n">
        <f aca="false">C142*D141/100</f>
        <v>224.914185531293</v>
      </c>
      <c r="E142" s="113" t="n">
        <v>107.72</v>
      </c>
      <c r="F142" s="110" t="n">
        <v>228.03592744055</v>
      </c>
      <c r="G142" s="4" t="n">
        <f aca="false">F142/F141*100</f>
        <v>100.700122194127</v>
      </c>
      <c r="H142" s="84" t="n">
        <f aca="false">AVERAGE(G140:G142)^12/100^11-100</f>
        <v>8.33687838795983</v>
      </c>
      <c r="J142" s="58" t="n">
        <v>100.69</v>
      </c>
      <c r="K142" s="84" t="n">
        <f aca="false">AVERAGE(J140:J142)^12/100^11-100</f>
        <v>11.1304524076478</v>
      </c>
    </row>
    <row r="143" customFormat="false" ht="16.4" hidden="false" customHeight="false" outlineLevel="0" collapsed="false">
      <c r="A143" s="109" t="n">
        <v>44440</v>
      </c>
      <c r="B143" s="58" t="n">
        <v>0.73</v>
      </c>
      <c r="C143" s="4" t="n">
        <f aca="false">B143+100</f>
        <v>100.73</v>
      </c>
      <c r="D143" s="112" t="n">
        <f aca="false">C143*D142/100</f>
        <v>226.556059085672</v>
      </c>
      <c r="E143" s="113" t="n">
        <v>108.37</v>
      </c>
      <c r="F143" s="110" t="n">
        <v>229.828930601436</v>
      </c>
      <c r="G143" s="4" t="n">
        <f aca="false">F143/F142*100</f>
        <v>100.786280995723</v>
      </c>
      <c r="H143" s="84" t="n">
        <f aca="false">AVERAGE(G141:G143)^12/100^11-100</f>
        <v>9.25105473230107</v>
      </c>
      <c r="J143" s="58" t="n">
        <v>101.16</v>
      </c>
      <c r="K143" s="84" t="n">
        <f aca="false">AVERAGE(J141:J143)^12/100^11-100</f>
        <v>12.2370448402664</v>
      </c>
    </row>
    <row r="144" customFormat="false" ht="16.4" hidden="false" customHeight="false" outlineLevel="0" collapsed="false">
      <c r="A144" s="109" t="n">
        <v>44470</v>
      </c>
      <c r="B144" s="58" t="n">
        <v>0.92</v>
      </c>
      <c r="C144" s="4" t="n">
        <f aca="false">B144+100</f>
        <v>100.92</v>
      </c>
      <c r="D144" s="112" t="n">
        <f aca="false">C144*D143/100</f>
        <v>228.64037482926</v>
      </c>
      <c r="E144" s="113" t="n">
        <v>108.83</v>
      </c>
      <c r="F144" s="110" t="n">
        <v>231.583716513322</v>
      </c>
      <c r="G144" s="4" t="n">
        <f aca="false">F144/F143*100</f>
        <v>100.763518286098</v>
      </c>
      <c r="H144" s="84" t="n">
        <f aca="false">AVERAGE(G142:G144)^12/100^11-100</f>
        <v>9.38034876451077</v>
      </c>
      <c r="J144" s="58" t="n">
        <v>100.78</v>
      </c>
      <c r="K144" s="84" t="n">
        <f aca="false">AVERAGE(J142:J144)^12/100^11-100</f>
        <v>11.0423585141668</v>
      </c>
    </row>
    <row r="145" customFormat="false" ht="16.4" hidden="false" customHeight="false" outlineLevel="0" collapsed="false">
      <c r="A145" s="109" t="n">
        <v>44501</v>
      </c>
      <c r="B145" s="58" t="n">
        <v>0.86</v>
      </c>
      <c r="C145" s="4" t="n">
        <f aca="false">B145+100</f>
        <v>100.86</v>
      </c>
      <c r="D145" s="112" t="n">
        <f aca="false">C145*D144/100</f>
        <v>230.606682052791</v>
      </c>
      <c r="E145" s="113" t="n">
        <v>108.91</v>
      </c>
      <c r="F145" s="110" t="n">
        <v>231.754091099709</v>
      </c>
      <c r="G145" s="4" t="n">
        <f aca="false">F145/F144*100</f>
        <v>100.073569329032</v>
      </c>
      <c r="H145" s="84" t="n">
        <f aca="false">AVERAGE(G143:G145)^12/100^11-100</f>
        <v>6.69026033187978</v>
      </c>
      <c r="J145" s="58" t="n">
        <v>100.52</v>
      </c>
      <c r="K145" s="84" t="n">
        <f aca="false">AVERAGE(J143:J145)^12/100^11-100</f>
        <v>10.2961408608193</v>
      </c>
    </row>
    <row r="146" customFormat="false" ht="16.4" hidden="false" customHeight="false" outlineLevel="0" collapsed="false">
      <c r="A146" s="109" t="n">
        <v>44531</v>
      </c>
      <c r="B146" s="58" t="n">
        <v>0.21</v>
      </c>
      <c r="C146" s="4" t="n">
        <f aca="false">B146+100</f>
        <v>100.21</v>
      </c>
      <c r="D146" s="112" t="n">
        <f aca="false">C146*D145/100</f>
        <v>231.090956085102</v>
      </c>
      <c r="E146" s="113" t="n">
        <v>108.17</v>
      </c>
      <c r="F146" s="110" t="n">
        <v>233.668656159468</v>
      </c>
      <c r="G146" s="4" t="n">
        <f aca="false">F146/F145*100</f>
        <v>100.826119207076</v>
      </c>
      <c r="H146" s="84" t="n">
        <f aca="false">AVERAGE(G144:G146)^12/100^11-100</f>
        <v>6.85948215819775</v>
      </c>
      <c r="J146" s="58" t="n">
        <v>100.11</v>
      </c>
      <c r="K146" s="84" t="n">
        <f aca="false">AVERAGE(J144:J146)^12/100^11-100</f>
        <v>5.78810244306202</v>
      </c>
    </row>
    <row r="147" customFormat="false" ht="16.4" hidden="false" customHeight="false" outlineLevel="0" collapsed="false">
      <c r="A147" s="109" t="n">
        <v>44562</v>
      </c>
      <c r="B147" s="58" t="n">
        <v>1.22</v>
      </c>
      <c r="C147" s="4" t="n">
        <f aca="false">B147+100</f>
        <v>101.22</v>
      </c>
      <c r="D147" s="112" t="n">
        <f aca="false">C147*D146/100</f>
        <v>233.910265749341</v>
      </c>
      <c r="E147" s="113" t="n">
        <v>108.84</v>
      </c>
      <c r="F147" s="110" t="n">
        <v>235.162904836809</v>
      </c>
      <c r="G147" s="4" t="n">
        <f aca="false">F147/F146*100</f>
        <v>100.639473304593</v>
      </c>
      <c r="H147" s="84" t="n">
        <f aca="false">AVERAGE(G145:G147)^12/100^11-100</f>
        <v>6.33338107818072</v>
      </c>
      <c r="J147" s="58" t="n">
        <v>100.62</v>
      </c>
      <c r="K147" s="84" t="n">
        <f aca="false">AVERAGE(J145:J147)^12/100^11-100</f>
        <v>5.11618978817337</v>
      </c>
    </row>
    <row r="148" customFormat="false" ht="16.4" hidden="false" customHeight="false" outlineLevel="0" collapsed="false">
      <c r="A148" s="109" t="n">
        <v>44593</v>
      </c>
      <c r="B148" s="58" t="n">
        <v>0.94</v>
      </c>
      <c r="C148" s="4" t="n">
        <f aca="false">B148+100</f>
        <v>100.94</v>
      </c>
      <c r="D148" s="112" t="n">
        <f aca="false">C148*D147/100</f>
        <v>236.109022247384</v>
      </c>
      <c r="E148" s="113" t="n">
        <v>108.73</v>
      </c>
      <c r="F148" s="110" t="n">
        <v>247.770853780677</v>
      </c>
      <c r="G148" s="4" t="n">
        <f aca="false">F148/F147*100</f>
        <v>105.361368091884</v>
      </c>
      <c r="H148" s="84" t="n">
        <f aca="false">AVERAGE(G146:G148)^12/100^11-100</f>
        <v>30.998752381566</v>
      </c>
      <c r="J148" s="58" t="n">
        <v>100.47</v>
      </c>
      <c r="K148" s="84" t="n">
        <f aca="false">AVERAGE(J146:J148)^12/100^11-100</f>
        <v>4.90702075348047</v>
      </c>
    </row>
    <row r="149" customFormat="false" ht="16.4" hidden="false" customHeight="false" outlineLevel="0" collapsed="false">
      <c r="A149" s="109" t="n">
        <v>44621</v>
      </c>
      <c r="B149" s="58" t="n">
        <v>5.55</v>
      </c>
      <c r="C149" s="4" t="n">
        <f aca="false">B149+100</f>
        <v>105.55</v>
      </c>
      <c r="D149" s="112" t="n">
        <f aca="false">C149*D148/100</f>
        <v>249.213072982114</v>
      </c>
      <c r="E149" s="113" t="n">
        <v>113.29</v>
      </c>
      <c r="F149" s="110" t="n">
        <v>255.465558151283</v>
      </c>
      <c r="G149" s="4" t="n">
        <f aca="false">F149/F148*100</f>
        <v>103.105572852171</v>
      </c>
      <c r="H149" s="84" t="n">
        <f aca="false">AVERAGE(G147:G149)^12/100^11-100</f>
        <v>43.1664148192101</v>
      </c>
      <c r="J149" s="58" t="n">
        <v>105.09</v>
      </c>
      <c r="K149" s="84" t="n">
        <f aca="false">AVERAGE(J147:J149)^12/100^11-100</f>
        <v>27.722310975644</v>
      </c>
    </row>
    <row r="150" customFormat="false" ht="16.4" hidden="false" customHeight="false" outlineLevel="0" collapsed="false">
      <c r="A150" s="109" t="n">
        <v>44652</v>
      </c>
      <c r="B150" s="58" t="n">
        <v>3.28</v>
      </c>
      <c r="C150" s="4" t="n">
        <f aca="false">B150+100</f>
        <v>103.28</v>
      </c>
      <c r="D150" s="112" t="n">
        <f aca="false">C150*D149/100</f>
        <v>257.387261775927</v>
      </c>
      <c r="E150" s="113" t="n">
        <v>116</v>
      </c>
      <c r="F150" s="110" t="n">
        <v>257.546918439976</v>
      </c>
      <c r="G150" s="4" t="n">
        <f aca="false">F150/F149*100</f>
        <v>100.814732249527</v>
      </c>
      <c r="H150" s="84" t="n">
        <f aca="false">AVERAGE(G148:G150)^12/100^11-100</f>
        <v>44.1435380356529</v>
      </c>
      <c r="J150" s="58" t="n">
        <v>103</v>
      </c>
      <c r="K150" s="84" t="n">
        <f aca="false">AVERAGE(J148:J150)^12/100^11-100</f>
        <v>40.1588268272032</v>
      </c>
    </row>
    <row r="151" customFormat="false" ht="16.4" hidden="false" customHeight="false" outlineLevel="0" collapsed="false">
      <c r="A151" s="109" t="n">
        <v>44682</v>
      </c>
      <c r="B151" s="58" t="n">
        <v>0.68</v>
      </c>
      <c r="C151" s="4" t="n">
        <f aca="false">B151+100</f>
        <v>100.68</v>
      </c>
      <c r="D151" s="112" t="n">
        <f aca="false">C151*D150/100</f>
        <v>259.137495156004</v>
      </c>
      <c r="E151" s="113" t="n">
        <v>116.31</v>
      </c>
      <c r="F151" s="110" t="n">
        <v>256.813522137018</v>
      </c>
      <c r="G151" s="4" t="n">
        <f aca="false">F151/F150*100</f>
        <v>99.7152377875844</v>
      </c>
      <c r="H151" s="84" t="n">
        <f aca="false">AVERAGE(G149:G151)^12/100^11-100</f>
        <v>15.5516725644968</v>
      </c>
      <c r="J151" s="58" t="n">
        <v>100.81</v>
      </c>
      <c r="K151" s="84" t="n">
        <f aca="false">AVERAGE(J149:J151)^12/100^11-100</f>
        <v>42.0233796126313</v>
      </c>
    </row>
    <row r="152" customFormat="false" ht="16.4" hidden="false" customHeight="false" outlineLevel="0" collapsed="false">
      <c r="A152" s="109" t="n">
        <v>44713</v>
      </c>
      <c r="B152" s="58" t="n">
        <v>-0.68</v>
      </c>
      <c r="C152" s="4" t="n">
        <f aca="false">B152+100</f>
        <v>99.32</v>
      </c>
      <c r="D152" s="112" t="n">
        <f aca="false">C152*D151/100</f>
        <v>257.375360188943</v>
      </c>
      <c r="E152" s="113" t="n">
        <v>114.88</v>
      </c>
      <c r="F152" s="110" t="n">
        <v>255.717663240627</v>
      </c>
      <c r="G152" s="4" t="n">
        <f aca="false">F152/F151*100</f>
        <v>99.5732861388014</v>
      </c>
      <c r="H152" s="84" t="n">
        <f aca="false">AVERAGE(G150:G152)^12/100^11-100</f>
        <v>0.413807469486898</v>
      </c>
      <c r="J152" s="58" t="n">
        <v>99.71</v>
      </c>
      <c r="K152" s="84" t="n">
        <f aca="false">AVERAGE(J150:J152)^12/100^11-100</f>
        <v>15.0251228827219</v>
      </c>
    </row>
    <row r="153" customFormat="false" ht="16.4" hidden="false" customHeight="false" outlineLevel="0" collapsed="false">
      <c r="A153" s="109" t="n">
        <v>44743</v>
      </c>
      <c r="B153" s="58" t="n">
        <v>-0.77</v>
      </c>
      <c r="C153" s="4" t="n">
        <f aca="false">B153+100</f>
        <v>99.23</v>
      </c>
      <c r="D153" s="112" t="n">
        <f aca="false">C153*D152/100</f>
        <v>255.393569915488</v>
      </c>
      <c r="E153" s="113" t="n">
        <v>113.75</v>
      </c>
      <c r="F153" s="110" t="n">
        <v>255.752775129826</v>
      </c>
      <c r="G153" s="4" t="n">
        <f aca="false">F153/F152*100</f>
        <v>100.013730725032</v>
      </c>
      <c r="H153" s="84" t="n">
        <f aca="false">AVERAGE(G151:G153)^12/100^11-100</f>
        <v>-2.75555451226279</v>
      </c>
      <c r="J153" s="58" t="n">
        <v>99.93</v>
      </c>
      <c r="K153" s="84" t="n">
        <f aca="false">AVERAGE(J151:J153)^12/100^11-100</f>
        <v>1.81492450119612</v>
      </c>
    </row>
    <row r="154" customFormat="false" ht="16.4" hidden="false" customHeight="false" outlineLevel="0" collapsed="false">
      <c r="A154" s="109" t="n">
        <v>44774</v>
      </c>
      <c r="B154" s="58" t="n">
        <v>-0.57</v>
      </c>
      <c r="C154" s="4" t="n">
        <f aca="false">B154+100</f>
        <v>99.43</v>
      </c>
      <c r="D154" s="112" t="n">
        <f aca="false">C154*D153/100</f>
        <v>253.93782656697</v>
      </c>
      <c r="E154" s="113" t="n">
        <v>112.92</v>
      </c>
      <c r="F154" s="110" t="n">
        <v>256.427450112255</v>
      </c>
      <c r="G154" s="4" t="n">
        <f aca="false">F154/F153*100</f>
        <v>100.263799672198</v>
      </c>
      <c r="H154" s="84" t="n">
        <f aca="false">AVERAGE(G152:G154)^12/100^11-100</f>
        <v>-0.595104473083083</v>
      </c>
      <c r="J154" s="58" t="n">
        <v>100.03</v>
      </c>
      <c r="K154" s="84" t="n">
        <f aca="false">AVERAGE(J152:J154)^12/100^11-100</f>
        <v>-1.31204320965443</v>
      </c>
    </row>
    <row r="155" customFormat="false" ht="16.4" hidden="false" customHeight="false" outlineLevel="0" collapsed="false">
      <c r="A155" s="109" t="n">
        <v>44805</v>
      </c>
      <c r="B155" s="58" t="n">
        <v>0.33</v>
      </c>
      <c r="C155" s="4" t="n">
        <f aca="false">B155+100</f>
        <v>100.33</v>
      </c>
      <c r="D155" s="112" t="n">
        <f aca="false">C155*D154/100</f>
        <v>254.775821394641</v>
      </c>
      <c r="E155" s="113" t="n">
        <v>112.46</v>
      </c>
      <c r="F155" s="110" t="n">
        <v>257.737760667046</v>
      </c>
      <c r="G155" s="4" t="n">
        <f aca="false">F155/F154*100</f>
        <v>100.510986851921</v>
      </c>
      <c r="H155" s="84" t="n">
        <f aca="false">AVERAGE(G153:G155)^12/100^11-100</f>
        <v>3.20006653986967</v>
      </c>
      <c r="J155" s="58" t="n">
        <v>100.63</v>
      </c>
      <c r="K155" s="84" t="n">
        <f aca="false">AVERAGE(J153:J155)^12/100^11-100</f>
        <v>2.38569542202613</v>
      </c>
    </row>
    <row r="156" customFormat="false" ht="16.4" hidden="false" customHeight="false" outlineLevel="0" collapsed="false">
      <c r="A156" s="109" t="n">
        <v>44835</v>
      </c>
      <c r="B156" s="58" t="n">
        <v>0.66</v>
      </c>
      <c r="C156" s="4" t="n">
        <f aca="false">B156+100</f>
        <v>100.66</v>
      </c>
      <c r="D156" s="112" t="n">
        <f aca="false">C156*D155/100</f>
        <v>256.457341815845</v>
      </c>
      <c r="E156" s="113" t="n">
        <v>112.17</v>
      </c>
      <c r="F156" s="110" t="n">
        <v>258.163786033711</v>
      </c>
      <c r="G156" s="4" t="n">
        <f aca="false">F156/F155*100</f>
        <v>100.165294121266</v>
      </c>
      <c r="H156" s="84" t="n">
        <f aca="false">AVERAGE(G154:G156)^12/100^11-100</f>
        <v>3.82581277690977</v>
      </c>
      <c r="J156" s="58" t="n">
        <v>100.53</v>
      </c>
      <c r="K156" s="84" t="n">
        <f aca="false">AVERAGE(J154:J156)^12/100^11-100</f>
        <v>4.86523275884113</v>
      </c>
    </row>
    <row r="157" customFormat="false" ht="16.4" hidden="false" customHeight="false" outlineLevel="0" collapsed="false">
      <c r="A157" s="109" t="n">
        <v>44866</v>
      </c>
      <c r="B157" s="58" t="n">
        <v>0.26</v>
      </c>
      <c r="C157" s="4" t="n">
        <f aca="false">B157+100</f>
        <v>100.26</v>
      </c>
      <c r="D157" s="112" t="n">
        <f aca="false">C157*D156/100</f>
        <v>257.124130904567</v>
      </c>
      <c r="E157" s="113" t="n">
        <v>111.51</v>
      </c>
      <c r="F157" s="110" t="n">
        <v>259.34953183859</v>
      </c>
      <c r="G157" s="4" t="n">
        <f aca="false">F157/F156*100</f>
        <v>100.459299820124</v>
      </c>
      <c r="H157" s="84" t="n">
        <f aca="false">AVERAGE(G155:G157)^12/100^11-100</f>
        <v>4.63809313758664</v>
      </c>
      <c r="J157" s="58" t="n">
        <v>99.94</v>
      </c>
      <c r="K157" s="84" t="n">
        <f aca="false">AVERAGE(J155:J157)^12/100^11-100</f>
        <v>4.48982685184568</v>
      </c>
    </row>
    <row r="158" customFormat="false" ht="16.4" hidden="false" customHeight="false" outlineLevel="0" collapsed="false">
      <c r="A158" s="109" t="n">
        <v>44896</v>
      </c>
      <c r="B158" s="58" t="n">
        <v>0.57</v>
      </c>
      <c r="C158" s="4" t="n">
        <f aca="false">B158+100</f>
        <v>100.57</v>
      </c>
      <c r="D158" s="112" t="n">
        <f aca="false">C158*D157/100</f>
        <v>258.589738450723</v>
      </c>
      <c r="E158" s="113" t="n">
        <v>111.9</v>
      </c>
      <c r="F158" s="110" t="n">
        <v>261.202158892758</v>
      </c>
      <c r="G158" s="4" t="n">
        <f aca="false">F158/F157*100</f>
        <v>100.714335993219</v>
      </c>
      <c r="H158" s="84" t="n">
        <f aca="false">AVERAGE(G156:G158)^12/100^11-100</f>
        <v>5.48916246981958</v>
      </c>
      <c r="J158" s="58" t="n">
        <v>100.25</v>
      </c>
      <c r="K158" s="84" t="n">
        <f aca="false">AVERAGE(J156:J158)^12/100^11-100</f>
        <v>2.9183217766154</v>
      </c>
    </row>
    <row r="159" customFormat="false" ht="16.4" hidden="false" customHeight="false" outlineLevel="0" collapsed="false">
      <c r="A159" s="109" t="n">
        <v>44927</v>
      </c>
      <c r="B159" s="58" t="n">
        <v>1.13</v>
      </c>
      <c r="C159" s="4" t="n">
        <f aca="false">B159+100</f>
        <v>101.13</v>
      </c>
      <c r="D159" s="112" t="n">
        <f aca="false">C159*D158/100</f>
        <v>261.511802495216</v>
      </c>
      <c r="E159" s="113" t="n">
        <v>111.8</v>
      </c>
      <c r="F159" s="110" t="n">
        <v>262.351618366467</v>
      </c>
      <c r="G159" s="4" t="n">
        <f aca="false">F159/F158*100</f>
        <v>100.440065073957</v>
      </c>
      <c r="H159" s="84" t="n">
        <f aca="false">AVERAGE(G157:G159)^12/100^11-100</f>
        <v>6.64923154284531</v>
      </c>
      <c r="J159" s="58" t="n">
        <v>100.64</v>
      </c>
      <c r="K159" s="84" t="n">
        <f aca="false">AVERAGE(J157:J159)^12/100^11-100</f>
        <v>3.37098814696235</v>
      </c>
    </row>
    <row r="160" customFormat="false" ht="16.4" hidden="false" customHeight="false" outlineLevel="0" collapsed="false">
      <c r="A160" s="109" t="n">
        <v>44958</v>
      </c>
      <c r="B160" s="58" t="n">
        <v>0.75</v>
      </c>
      <c r="C160" s="4" t="n">
        <f aca="false">B160+100</f>
        <v>100.75</v>
      </c>
      <c r="D160" s="112" t="n">
        <f aca="false">C160*D159/100</f>
        <v>263.47314101393</v>
      </c>
      <c r="E160" s="113" t="n">
        <v>111.59</v>
      </c>
      <c r="F160" s="110" t="n">
        <v>262.933524859819</v>
      </c>
      <c r="G160" s="4" t="n">
        <f aca="false">F160/F159*100</f>
        <v>100.221804041833</v>
      </c>
      <c r="H160" s="84" t="n">
        <f aca="false">AVERAGE(G158:G160)^12/100^11-100</f>
        <v>5.6458552631251</v>
      </c>
      <c r="J160" s="58" t="n">
        <v>100.36</v>
      </c>
      <c r="K160" s="84" t="n">
        <f aca="false">AVERAGE(J158:J160)^12/100^11-100</f>
        <v>5.11618978817337</v>
      </c>
    </row>
    <row r="161" customFormat="false" ht="16.4" hidden="false" customHeight="false" outlineLevel="0" collapsed="false">
      <c r="A161" s="109" t="n">
        <v>44986</v>
      </c>
      <c r="B161" s="58" t="n">
        <v>0.39</v>
      </c>
      <c r="C161" s="4" t="n">
        <f aca="false">B161+100</f>
        <v>100.39</v>
      </c>
      <c r="D161" s="112" t="n">
        <f aca="false">C161*D160/100</f>
        <v>264.500686263884</v>
      </c>
      <c r="E161" s="113" t="n">
        <v>106.14</v>
      </c>
      <c r="F161" s="110" t="n">
        <v>264.466373464769</v>
      </c>
      <c r="G161" s="4" t="n">
        <f aca="false">F161/F160*100</f>
        <v>100.582979521446</v>
      </c>
      <c r="H161" s="84" t="n">
        <f aca="false">AVERAGE(G159:G161)^12/100^11-100</f>
        <v>5.09462202578547</v>
      </c>
      <c r="J161" s="58" t="n">
        <v>100</v>
      </c>
      <c r="K161" s="84" t="n">
        <f aca="false">AVERAGE(J159:J161)^12/100^11-100</f>
        <v>4.07415429197891</v>
      </c>
    </row>
    <row r="162" customFormat="false" ht="16.4" hidden="false" customHeight="false" outlineLevel="0" collapsed="false">
      <c r="A162" s="109" t="n">
        <v>45017</v>
      </c>
      <c r="B162" s="58" t="n">
        <v>0.72</v>
      </c>
      <c r="C162" s="4" t="n">
        <f aca="false">B162+100</f>
        <v>100.72</v>
      </c>
      <c r="D162" s="112" t="n">
        <f aca="false">C162*D161/100</f>
        <v>266.405091204984</v>
      </c>
      <c r="E162" s="113" t="n">
        <v>103.51</v>
      </c>
      <c r="F162" s="110" t="n">
        <v>264.209086928767</v>
      </c>
      <c r="G162" s="4" t="n">
        <f aca="false">F162/F161*100</f>
        <v>99.9027148394591</v>
      </c>
      <c r="H162" s="84" t="n">
        <f aca="false">AVERAGE(G160:G162)^12/100^11-100</f>
        <v>2.86699099995924</v>
      </c>
      <c r="J162" s="58" t="n">
        <v>100.54</v>
      </c>
      <c r="K162" s="84" t="n">
        <f aca="false">AVERAGE(J160:J162)^12/100^11-100</f>
        <v>3.65999802881309</v>
      </c>
    </row>
    <row r="163" customFormat="false" ht="16.4" hidden="false" customHeight="false" outlineLevel="0" collapsed="false">
      <c r="A163" s="109" t="n">
        <v>45047</v>
      </c>
      <c r="B163" s="58" t="n">
        <v>-0.25</v>
      </c>
      <c r="C163" s="4" t="n">
        <f aca="false">B163+100</f>
        <v>99.75</v>
      </c>
      <c r="D163" s="112" t="n">
        <f aca="false">C163*D162/100</f>
        <v>265.739078476972</v>
      </c>
      <c r="E163" s="113" t="n">
        <v>102.55</v>
      </c>
      <c r="F163" s="110" t="n">
        <v>266.396599975821</v>
      </c>
      <c r="G163" s="4" t="n">
        <f aca="false">F163/F162*100</f>
        <v>100.827947695699</v>
      </c>
      <c r="H163" s="84" t="n">
        <f aca="false">AVERAGE(G161:G163)^12/100^11-100</f>
        <v>5.38298171778222</v>
      </c>
      <c r="J163" s="58" t="n">
        <v>99.83</v>
      </c>
      <c r="K163" s="84" t="n">
        <f aca="false">AVERAGE(J161:J163)^12/100^11-100</f>
        <v>1.49008072090656</v>
      </c>
    </row>
    <row r="164" customFormat="false" ht="16.4" hidden="false" customHeight="false" outlineLevel="0" collapsed="false">
      <c r="A164" s="109" t="n">
        <v>45078</v>
      </c>
      <c r="B164" s="58" t="n">
        <v>0.43</v>
      </c>
      <c r="C164" s="4" t="n">
        <f aca="false">B164+100</f>
        <v>100.43</v>
      </c>
      <c r="D164" s="112" t="n">
        <f aca="false">C164*D163/100</f>
        <v>266.881756514423</v>
      </c>
      <c r="E164" s="113" t="n">
        <v>103.69</v>
      </c>
      <c r="F164" s="110" t="n">
        <v>268.587445339413</v>
      </c>
      <c r="G164" s="4" t="n">
        <f aca="false">F164/F163*100</f>
        <v>100.822399896917</v>
      </c>
      <c r="H164" s="84" t="n">
        <f aca="false">AVERAGE(G162:G164)^12/100^11-100</f>
        <v>6.39221808057852</v>
      </c>
      <c r="J164" s="58" t="n">
        <v>100.78</v>
      </c>
      <c r="K164" s="84" t="n">
        <f aca="false">AVERAGE(J162:J164)^12/100^11-100</f>
        <v>4.69823331903574</v>
      </c>
    </row>
    <row r="165" customFormat="false" ht="16.4" hidden="false" customHeight="false" outlineLevel="0" collapsed="false">
      <c r="A165" s="109" t="n">
        <v>45108</v>
      </c>
      <c r="B165" s="58" t="n">
        <v>0.5</v>
      </c>
      <c r="C165" s="4" t="n">
        <f aca="false">B165+100</f>
        <v>100.5</v>
      </c>
      <c r="D165" s="112" t="n">
        <f aca="false">C165*D164/100</f>
        <v>268.216165296995</v>
      </c>
      <c r="E165" s="113" t="n">
        <v>105.03</v>
      </c>
      <c r="F165" s="110" t="n">
        <v>269.99097287346</v>
      </c>
      <c r="G165" s="4" t="n">
        <f aca="false">F165/F164*100</f>
        <v>100.52255887548</v>
      </c>
      <c r="H165" s="84" t="n">
        <f aca="false">AVERAGE(G163:G165)^12/100^11-100</f>
        <v>9.04636821592234</v>
      </c>
      <c r="J165" s="58" t="n">
        <v>101.45</v>
      </c>
      <c r="K165" s="84" t="n">
        <f aca="false">AVERAGE(J163:J165)^12/100^11-100</f>
        <v>8.55843156309209</v>
      </c>
    </row>
    <row r="166" customFormat="false" ht="15" hidden="false" customHeight="true" outlineLevel="0" collapsed="false">
      <c r="A166" s="109" t="n">
        <v>45139</v>
      </c>
      <c r="B166" s="58" t="n">
        <v>-0.07</v>
      </c>
      <c r="C166" s="4" t="n">
        <f aca="false">B166+100</f>
        <v>99.93</v>
      </c>
      <c r="D166" s="112" t="n">
        <f aca="false">C166*D165/100</f>
        <v>268.028413981287</v>
      </c>
      <c r="E166" s="113" t="n">
        <v>105.56</v>
      </c>
      <c r="F166" s="110" t="n">
        <v>274.449128041679</v>
      </c>
      <c r="G166" s="4" t="n">
        <f aca="false">F166/F165*100</f>
        <v>101.651223787511</v>
      </c>
      <c r="H166" s="84" t="n">
        <f aca="false">AVERAGE(G164:G166)^12/100^11-100</f>
        <v>12.6654682053289</v>
      </c>
      <c r="J166" s="58" t="n">
        <v>100.62</v>
      </c>
      <c r="K166" s="84" t="n">
        <f aca="false">AVERAGE(J164:J166)^12/100^11-100</f>
        <v>12.0149216274177</v>
      </c>
    </row>
    <row r="167" customFormat="false" ht="16.4" hidden="false" customHeight="false" outlineLevel="0" collapsed="false">
      <c r="A167" s="109" t="n">
        <v>45170</v>
      </c>
      <c r="B167" s="58" t="n">
        <v>1.75</v>
      </c>
      <c r="C167" s="4" t="n">
        <f aca="false">B167+100</f>
        <v>101.75</v>
      </c>
      <c r="D167" s="112" t="n">
        <f aca="false">C167*D166/100</f>
        <v>272.71891122596</v>
      </c>
      <c r="E167" s="113" t="n">
        <v>107.05</v>
      </c>
      <c r="F167" s="110" t="n">
        <v>275.265154197858</v>
      </c>
      <c r="G167" s="4" t="n">
        <f aca="false">F167/F166*100</f>
        <v>100.297332391617</v>
      </c>
      <c r="H167" s="84" t="n">
        <f aca="false">AVERAGE(G165:G167)^12/100^11-100</f>
        <v>10.3447897577048</v>
      </c>
      <c r="J167" s="58" t="n">
        <v>102.01</v>
      </c>
      <c r="K167" s="84" t="n">
        <f aca="false">AVERAGE(J165:J167)^12/100^11-100</f>
        <v>17.5978068770083</v>
      </c>
      <c r="O167" s="109" t="n">
        <v>44256</v>
      </c>
      <c r="P167" s="109" t="n">
        <v>44896</v>
      </c>
      <c r="Q167" s="109" t="n">
        <v>44986</v>
      </c>
      <c r="R167" s="109" t="n">
        <v>45078</v>
      </c>
      <c r="S167" s="109" t="n">
        <v>45170</v>
      </c>
      <c r="T167" s="109" t="n">
        <v>45261</v>
      </c>
      <c r="U167" s="109" t="n">
        <v>45352</v>
      </c>
      <c r="V167" s="109" t="n">
        <v>45444</v>
      </c>
      <c r="W167" s="109" t="n">
        <v>45536</v>
      </c>
      <c r="X167" s="109" t="n">
        <v>45627</v>
      </c>
      <c r="Y167" s="109" t="n">
        <v>45717</v>
      </c>
      <c r="Z167" s="109" t="n">
        <v>45809</v>
      </c>
      <c r="AA167" s="109" t="n">
        <v>45901</v>
      </c>
      <c r="AB167" s="109" t="n">
        <v>45992</v>
      </c>
      <c r="AC167" s="109" t="n">
        <v>46082</v>
      </c>
      <c r="AD167" s="109" t="n">
        <v>46174</v>
      </c>
      <c r="AE167" s="109" t="n">
        <v>46266</v>
      </c>
      <c r="AF167" s="109" t="n">
        <v>46357</v>
      </c>
      <c r="AG167" s="109" t="n">
        <v>46447</v>
      </c>
      <c r="AH167" s="109" t="n">
        <v>46539</v>
      </c>
      <c r="AI167" s="109" t="n">
        <v>46631</v>
      </c>
      <c r="AJ167" s="109" t="n">
        <v>46722</v>
      </c>
      <c r="AK167" s="109"/>
    </row>
    <row r="168" customFormat="false" ht="16.4" hidden="false" customHeight="false" outlineLevel="0" collapsed="false">
      <c r="A168" s="109" t="n">
        <v>45200</v>
      </c>
      <c r="B168" s="58" t="n">
        <v>0.46</v>
      </c>
      <c r="C168" s="4" t="n">
        <f aca="false">B168+100</f>
        <v>100.46</v>
      </c>
      <c r="D168" s="112" t="n">
        <f aca="false">C168*D167/100</f>
        <v>273.973418217599</v>
      </c>
      <c r="E168" s="113" t="n">
        <v>106.84</v>
      </c>
      <c r="F168" s="110" t="n">
        <v>277.04336474852</v>
      </c>
      <c r="G168" s="4" t="n">
        <f aca="false">F168/F167*100</f>
        <v>100.645999147928</v>
      </c>
      <c r="H168" s="84" t="n">
        <f aca="false">AVERAGE(G166:G168)^12/100^11-100</f>
        <v>10.8863927857186</v>
      </c>
      <c r="J168" s="58" t="n">
        <v>100.32</v>
      </c>
      <c r="K168" s="84" t="n">
        <f aca="false">AVERAGE(J166:J168)^12/100^11-100</f>
        <v>12.4595717465677</v>
      </c>
      <c r="O168" s="114" t="n">
        <v>2021</v>
      </c>
      <c r="P168" s="115"/>
      <c r="Q168" s="116" t="n">
        <v>2023</v>
      </c>
      <c r="R168" s="116"/>
      <c r="S168" s="116"/>
      <c r="T168" s="116"/>
      <c r="U168" s="116" t="n">
        <v>2024</v>
      </c>
      <c r="V168" s="116"/>
      <c r="W168" s="116"/>
      <c r="X168" s="116"/>
      <c r="Y168" s="116" t="n">
        <v>2025</v>
      </c>
      <c r="Z168" s="116"/>
      <c r="AA168" s="116"/>
      <c r="AB168" s="116"/>
      <c r="AC168" s="116" t="n">
        <v>2026</v>
      </c>
      <c r="AD168" s="116"/>
      <c r="AE168" s="116"/>
      <c r="AF168" s="116"/>
      <c r="AG168" s="116" t="n">
        <v>2027</v>
      </c>
      <c r="AH168" s="116"/>
      <c r="AI168" s="116"/>
      <c r="AJ168" s="116"/>
    </row>
    <row r="169" customFormat="false" ht="16.4" hidden="false" customHeight="false" outlineLevel="0" collapsed="false">
      <c r="A169" s="109" t="n">
        <v>45231</v>
      </c>
      <c r="B169" s="58" t="n">
        <v>0.74</v>
      </c>
      <c r="C169" s="4" t="n">
        <f aca="false">B169+100</f>
        <v>100.74</v>
      </c>
      <c r="D169" s="112" t="n">
        <f aca="false">C169*D168/100</f>
        <v>276.000821512409</v>
      </c>
      <c r="E169" s="113" t="n">
        <v>107.34</v>
      </c>
      <c r="F169" s="110" t="n">
        <v>277.607890514295</v>
      </c>
      <c r="G169" s="4" t="n">
        <f aca="false">F169/F168*100</f>
        <v>100.203768015266</v>
      </c>
      <c r="H169" s="84" t="n">
        <f aca="false">AVERAGE(G167:G169)^12/100^11-100</f>
        <v>4.68613348566922</v>
      </c>
      <c r="I169" s="4" t="n">
        <f aca="false">AVERAGE(G158:G169)^12/100^11-100</f>
        <v>7.05124720316239</v>
      </c>
      <c r="J169" s="58" t="n">
        <v>100.36</v>
      </c>
      <c r="K169" s="84" t="n">
        <f aca="false">AVERAGE(J167:J169)^12/100^11-100</f>
        <v>11.3068324163924</v>
      </c>
      <c r="O169" s="117" t="s">
        <v>52</v>
      </c>
      <c r="P169" s="117" t="s">
        <v>53</v>
      </c>
      <c r="Q169" s="117" t="s">
        <v>52</v>
      </c>
      <c r="R169" s="117" t="s">
        <v>54</v>
      </c>
      <c r="S169" s="117" t="s">
        <v>55</v>
      </c>
      <c r="T169" s="117" t="s">
        <v>53</v>
      </c>
      <c r="U169" s="117" t="s">
        <v>52</v>
      </c>
      <c r="V169" s="117" t="s">
        <v>54</v>
      </c>
      <c r="W169" s="117" t="s">
        <v>55</v>
      </c>
      <c r="X169" s="117" t="s">
        <v>53</v>
      </c>
      <c r="Y169" s="117" t="s">
        <v>52</v>
      </c>
      <c r="Z169" s="117" t="s">
        <v>54</v>
      </c>
      <c r="AA169" s="117" t="s">
        <v>55</v>
      </c>
      <c r="AB169" s="117" t="s">
        <v>53</v>
      </c>
      <c r="AC169" s="117" t="s">
        <v>52</v>
      </c>
      <c r="AD169" s="117" t="s">
        <v>54</v>
      </c>
      <c r="AE169" s="117" t="s">
        <v>55</v>
      </c>
      <c r="AF169" s="117" t="s">
        <v>53</v>
      </c>
      <c r="AG169" s="117" t="s">
        <v>52</v>
      </c>
      <c r="AH169" s="117" t="s">
        <v>54</v>
      </c>
      <c r="AI169" s="117" t="s">
        <v>55</v>
      </c>
      <c r="AJ169" s="117" t="s">
        <v>53</v>
      </c>
    </row>
    <row r="170" customFormat="false" ht="16.4" hidden="false" customHeight="false" outlineLevel="0" collapsed="false">
      <c r="A170" s="109" t="n">
        <v>45261</v>
      </c>
      <c r="B170" s="58" t="n">
        <v>0.29</v>
      </c>
      <c r="C170" s="4" t="n">
        <f aca="false">B170+100</f>
        <v>100.29</v>
      </c>
      <c r="D170" s="112" t="n">
        <f aca="false">C170*D169/100</f>
        <v>276.801223894795</v>
      </c>
      <c r="E170" s="113" t="n">
        <v>107.05</v>
      </c>
      <c r="F170" s="110" t="n">
        <v>278.83822033955</v>
      </c>
      <c r="G170" s="4" t="n">
        <f aca="false">F170/F169*100</f>
        <v>100.443189789374</v>
      </c>
      <c r="H170" s="84" t="n">
        <f aca="false">AVERAGE(G168:G170)^12/100^11-100</f>
        <v>5.29620031390846</v>
      </c>
      <c r="I170" s="4" t="n">
        <f aca="false">AVERAGE(G159:G170)^12/100^11-100</f>
        <v>6.76298169049841</v>
      </c>
      <c r="J170" s="58" t="n">
        <v>100.23</v>
      </c>
      <c r="K170" s="84" t="n">
        <f aca="false">AVERAGE(J168:J170)^12/100^11-100</f>
        <v>3.70134556525113</v>
      </c>
      <c r="N170" s="108" t="s">
        <v>48</v>
      </c>
      <c r="O170" s="57" t="n">
        <f aca="false">SUMIFS($K$5:$K$206,$A$5:$A$206,O$167)</f>
        <v>6.59111120848711</v>
      </c>
      <c r="P170" s="57" t="n">
        <f aca="false">SUMIFS($K$5:$K$206,$A$5:$A$206,P$167)</f>
        <v>2.9183217766154</v>
      </c>
      <c r="Q170" s="57" t="n">
        <f aca="false">SUMIFS($K$5:$K$206,$A$5:$A$206,Q$167)</f>
        <v>4.07415429197891</v>
      </c>
      <c r="R170" s="57" t="n">
        <f aca="false">SUMIFS($K$5:$K$206,$A$5:$A$206,R$167)</f>
        <v>4.69823331903574</v>
      </c>
      <c r="S170" s="57" t="n">
        <f aca="false">SUMIFS($K$5:$K$206,$A$5:$A$206,S$167)</f>
        <v>17.5978068770083</v>
      </c>
      <c r="T170" s="57" t="n">
        <f aca="false">SUMIFS($K$5:$K$206,$A$5:$A$206,T$167)</f>
        <v>3.70134556525113</v>
      </c>
      <c r="U170" s="57" t="n">
        <f aca="false">SUMIFS($K$5:$K$206,$A$5:$A$206,U$167)</f>
        <v>2.63120819651449</v>
      </c>
      <c r="V170" s="57" t="n">
        <f aca="false">SUMIFS($K$5:$K$206,$A$5:$A$206,V$167)</f>
        <v>7.14375346230894</v>
      </c>
      <c r="W170" s="57" t="n">
        <f aca="false">SUMIFS($K$5:$K$206,$A$5:$A$206,W$167)</f>
        <v>14.7979464926246</v>
      </c>
      <c r="X170" s="57" t="n">
        <f aca="false">SUMIFS($K$5:$K$206,$A$5:$A$206,X$167)</f>
        <v>12.5486956926018</v>
      </c>
      <c r="Y170" s="57" t="n">
        <f aca="false">SUMIFS($K$5:$K$206,$A$5:$A$206,Y$167)</f>
        <v>6.21004472897121</v>
      </c>
      <c r="Z170" s="57" t="n">
        <f aca="false">SUMIFS($K$5:$K$206,$A$5:$A$206,Z$167)</f>
        <v>2.22231945899691</v>
      </c>
      <c r="AA170" s="57" t="n">
        <f aca="false">SUMIFS($K$5:$K$206,$A$5:$A$206,AA$167)</f>
        <v>10.1212296126819</v>
      </c>
      <c r="AB170" s="57" t="n">
        <f aca="false">SUMIFS($K$5:$K$206,$A$5:$A$206,AB$167)</f>
        <v>2.83621428758538</v>
      </c>
      <c r="AC170" s="57" t="n">
        <f aca="false">SUMIFS($K$5:$K$206,$A$5:$A$206,AC$167)</f>
        <v>5.14523695006385</v>
      </c>
      <c r="AD170" s="57" t="n">
        <f aca="false">SUMIFS($K$5:$K$206,$A$5:$A$206,AD$167)</f>
        <v>2.76351316466132</v>
      </c>
      <c r="AE170" s="57" t="n">
        <f aca="false">SUMIFS($K$5:$K$206,$A$5:$A$206,AE$167)</f>
        <v>7.72974633557205</v>
      </c>
      <c r="AF170" s="57" t="n">
        <f aca="false">SUMIFS($K$5:$K$206,$A$5:$A$206,AF$167)</f>
        <v>4.18192322924492</v>
      </c>
      <c r="AG170" s="57" t="n">
        <f aca="false">SUMIFS($K$5:$K$218,$A$5:$A$218,AG$167)</f>
        <v>4.15859636592572</v>
      </c>
      <c r="AH170" s="57" t="n">
        <f aca="false">SUMIFS($K$5:$K$218,$A$5:$A$218,AH$167)</f>
        <v>5.02114035319441</v>
      </c>
      <c r="AI170" s="57" t="n">
        <f aca="false">SUMIFS($K$5:$K$218,$A$5:$A$218,AI$167)</f>
        <v>4.5472890611313</v>
      </c>
      <c r="AJ170" s="57" t="n">
        <f aca="false">SUMIFS($K$5:$K$218,$A$5:$A$218,AJ$167)</f>
        <v>1.9485660038582</v>
      </c>
    </row>
    <row r="171" customFormat="false" ht="16.4" hidden="false" customHeight="false" outlineLevel="0" collapsed="false">
      <c r="A171" s="109" t="n">
        <v>45292</v>
      </c>
      <c r="B171" s="58" t="n">
        <v>0.87</v>
      </c>
      <c r="C171" s="4" t="n">
        <f aca="false">B171+100</f>
        <v>100.87</v>
      </c>
      <c r="D171" s="112" t="n">
        <f aca="false">C171*D170/100</f>
        <v>279.20939454268</v>
      </c>
      <c r="E171" s="118" t="n">
        <v>106.77</v>
      </c>
      <c r="F171" s="110" t="n">
        <v>279.424341359558</v>
      </c>
      <c r="G171" s="4" t="n">
        <f aca="false">F171/F170*100</f>
        <v>100.21020110489</v>
      </c>
      <c r="H171" s="84" t="n">
        <f aca="false">AVERAGE(G169:G171)^12/100^11-100</f>
        <v>3.48303166953846</v>
      </c>
      <c r="I171" s="4" t="n">
        <f aca="false">AVERAGE(G160:G171)^12/100^11-100</f>
        <v>6.51916232568414</v>
      </c>
      <c r="J171" s="58" t="n">
        <v>100.36</v>
      </c>
      <c r="K171" s="84" t="n">
        <f aca="false">AVERAGE(J169:J171)^12/100^11-100</f>
        <v>3.86688693803629</v>
      </c>
      <c r="N171" s="96" t="s">
        <v>2</v>
      </c>
      <c r="O171" s="57" t="n">
        <f aca="false">IF(SUMIFS($E$5:$E$206,$A$5:$A$206,O$167)&gt;90,SUMIFS($E$5:$E$206,$A$5:$A$206,O$167)-100,SUMIFS($E$5:$E$206,$A$5:$A$206,O$167))</f>
        <v>6.83</v>
      </c>
      <c r="P171" s="57" t="n">
        <f aca="false">IF(SUMIFS($E$5:$E$206,$A$5:$A$206,P$167)&gt;90,SUMIFS($E$5:$E$206,$A$5:$A$206,P$167)-100,SUMIFS($E$5:$E$206,$A$5:$A$206,P$167))</f>
        <v>11.9</v>
      </c>
      <c r="Q171" s="57" t="n">
        <f aca="false">IF(SUMIFS($E$5:$E$206,$A$5:$A$206,Q$167)&gt;90,SUMIFS($E$5:$E$206,$A$5:$A$206,Q$167)-100,SUMIFS($E$5:$E$206,$A$5:$A$206,Q$167))</f>
        <v>6.14</v>
      </c>
      <c r="R171" s="57" t="n">
        <f aca="false">IF(SUMIFS($E$5:$E$206,$A$5:$A$206,R$167)&gt;90,SUMIFS($E$5:$E$206,$A$5:$A$206,R$167)-100,SUMIFS($E$5:$E$206,$A$5:$A$206,R$167))</f>
        <v>3.69</v>
      </c>
      <c r="S171" s="57" t="n">
        <f aca="false">IF(SUMIFS($E$5:$E$206,$A$5:$A$206,S$167)&gt;90,SUMIFS($E$5:$E$206,$A$5:$A$206,S$167)-100,SUMIFS($E$5:$E$206,$A$5:$A$206,S$167))</f>
        <v>7.05</v>
      </c>
      <c r="T171" s="57" t="n">
        <f aca="false">IF(SUMIFS($E$5:$E$206,$A$5:$A$206,T$167)&gt;90,SUMIFS($E$5:$E$206,$A$5:$A$206,T$167)-100,SUMIFS($E$5:$E$206,$A$5:$A$206,T$167))</f>
        <v>7.05</v>
      </c>
      <c r="U171" s="57" t="n">
        <f aca="false">IF(SUMIFS($E$5:$E$206,$A$5:$A$206,U$167)&gt;90,SUMIFS($E$5:$E$206,$A$5:$A$206,U$167)-100,SUMIFS($E$5:$E$206,$A$5:$A$206,U$167))</f>
        <v>6.68000000000001</v>
      </c>
      <c r="V171" s="57" t="n">
        <f aca="false">IF(SUMIFS($E$5:$E$206,$A$5:$A$206,V$167)&gt;90,SUMIFS($E$5:$E$206,$A$5:$A$206,V$167)-100,SUMIFS($E$5:$E$206,$A$5:$A$206,V$167))</f>
        <v>7.33</v>
      </c>
      <c r="W171" s="57" t="n">
        <f aca="false">IF(SUMIFS($E$5:$E$206,$A$5:$A$206,W$167)&gt;90,SUMIFS($E$5:$E$206,$A$5:$A$206,W$167)-100,SUMIFS($E$5:$E$206,$A$5:$A$206,W$167))</f>
        <v>6.91</v>
      </c>
      <c r="X171" s="57" t="n">
        <f aca="false">IF(SUMIFS($E$5:$E$206,$A$5:$A$206,X$167)&gt;90,SUMIFS($E$5:$E$206,$A$5:$A$206,X$167)-100,SUMIFS($E$5:$E$206,$A$5:$A$206,X$167))</f>
        <v>8.98</v>
      </c>
      <c r="Y171" s="57" t="n">
        <f aca="false">IF(SUMIFS($E$5:$E$206,$A$5:$A$206,Y$167)&gt;90,SUMIFS($E$5:$E$206,$A$5:$A$206,Y$167)-100,SUMIFS($E$5:$E$206,$A$5:$A$206,Y$167))</f>
        <v>10.13</v>
      </c>
      <c r="Z171" s="57" t="n">
        <f aca="false">IF(SUMIFS($E$5:$E$206,$A$5:$A$206,Z$167)&gt;90,SUMIFS($E$5:$E$206,$A$5:$A$206,Z$167)-100,SUMIFS($E$5:$E$206,$A$5:$A$206,Z$167))</f>
        <v>8.95999999999999</v>
      </c>
      <c r="AA171" s="57" t="n">
        <f aca="false">IF(SUMIFS($E$5:$E$206,$A$5:$A$206,AA$167)&gt;90,SUMIFS($E$5:$E$206,$A$5:$A$206,AA$167)-100,SUMIFS($E$5:$E$206,$A$5:$A$206,AA$167))</f>
        <v>7.88</v>
      </c>
      <c r="AB171" s="57" t="n">
        <f aca="false">IF(SUMIFS($E$5:$E$206,$A$5:$A$206,AB$167)&gt;90,SUMIFS($E$5:$E$206,$A$5:$A$206,AB$167)-100,SUMIFS($E$5:$E$206,$A$5:$A$206,AB$167))</f>
        <v>5.28</v>
      </c>
      <c r="AC171" s="57" t="n">
        <f aca="false">IF(SUMIFS($E$5:$E$206,$A$5:$A$206,AC$167)&gt;90,SUMIFS($E$5:$E$206,$A$5:$A$206,AC$167)-100,SUMIFS($E$5:$E$206,$A$5:$A$206,AC$167))</f>
        <v>5.54000000000001</v>
      </c>
      <c r="AD171" s="57" t="n">
        <f aca="false">IF(SUMIFS($E$5:$E$206,$A$5:$A$206,AD$167)&gt;90,SUMIFS($E$5:$E$206,$A$5:$A$206,AD$167)-100,SUMIFS($E$5:$E$206,$A$5:$A$206,AD$167))</f>
        <v>6.01000000000001</v>
      </c>
      <c r="AE171" s="57" t="n">
        <f aca="false">IF(SUMIFS($E$5:$E$206,$A$5:$A$206,AE$167)&gt;90,SUMIFS($E$5:$E$206,$A$5:$A$206,AE$167)-100,SUMIFS($E$5:$E$206,$A$5:$A$206,AE$167))</f>
        <v>7.19</v>
      </c>
      <c r="AF171" s="57" t="n">
        <f aca="false">IF(SUMIFS($E$5:$E$206,$A$5:$A$206,AF$167)&gt;90,SUMIFS($E$5:$E$206,$A$5:$A$206,AF$167)-100,SUMIFS($E$5:$E$206,$A$5:$A$206,AF$167))</f>
        <v>8.56</v>
      </c>
      <c r="AG171" s="57" t="n">
        <f aca="false">IF(SUMIFS($E$5:$E$218,$A$5:$A$218,AG$167)&gt;90,SUMIFS($E$5:$E$218,$A$5:$A$218,AG$167)-100,SUMIFS($E$5:$E$218,$A$5:$A$218,AG$167))</f>
        <v>7.29000000000001</v>
      </c>
      <c r="AH171" s="57" t="n">
        <f aca="false">IF(SUMIFS($E$5:$E$218,$A$5:$A$218,AH$167)&gt;90,SUMIFS($E$5:$E$218,$A$5:$A$218,AH$167)-100,SUMIFS($E$5:$E$218,$A$5:$A$218,AH$167))</f>
        <v>7.22</v>
      </c>
      <c r="AI171" s="57" t="n">
        <f aca="false">IF(SUMIFS($E$5:$E$218,$A$5:$A$218,AI$167)&gt;90,SUMIFS($E$5:$E$218,$A$5:$A$218,AI$167)-100,SUMIFS($E$5:$E$218,$A$5:$A$218,AI$167))</f>
        <v>5.69</v>
      </c>
      <c r="AJ171" s="57" t="n">
        <f aca="false">IF(SUMIFS($E$5:$E$218,$A$5:$A$218,AJ$167)&gt;90,SUMIFS($E$5:$E$218,$A$5:$A$218,AJ$167)-100,SUMIFS($E$5:$E$218,$A$5:$A$218,AJ$167))</f>
        <v>4.02</v>
      </c>
    </row>
    <row r="172" customFormat="false" ht="16.4" hidden="false" customHeight="false" outlineLevel="0" collapsed="false">
      <c r="A172" s="109" t="n">
        <v>45323</v>
      </c>
      <c r="B172" s="58" t="n">
        <v>0.53</v>
      </c>
      <c r="C172" s="25" t="n">
        <f aca="false">Прогноз!E28</f>
        <v>100.53</v>
      </c>
      <c r="D172" s="112" t="n">
        <f aca="false">C172*D171/100</f>
        <v>280.689204333756</v>
      </c>
      <c r="E172" s="118" t="n">
        <v>106.54</v>
      </c>
      <c r="F172" s="110" t="n">
        <v>280.456669628795</v>
      </c>
      <c r="G172" s="4" t="n">
        <f aca="false">F172/F171*100</f>
        <v>100.369448224952</v>
      </c>
      <c r="H172" s="84" t="n">
        <f aca="false">AVERAGE(G170:G172)^12/100^11-100</f>
        <v>4.16895645422449</v>
      </c>
      <c r="I172" s="4" t="n">
        <f aca="false">AVERAGE(G161:G172)^12/100^11-100</f>
        <v>6.6757115085053</v>
      </c>
      <c r="J172" s="58" t="n">
        <v>100.09</v>
      </c>
      <c r="K172" s="84" t="n">
        <f aca="false">AVERAGE(J170:J172)^12/100^11-100</f>
        <v>2.75416684857622</v>
      </c>
    </row>
    <row r="173" customFormat="false" ht="16.4" hidden="false" customHeight="false" outlineLevel="0" collapsed="false">
      <c r="A173" s="109" t="n">
        <v>45352</v>
      </c>
      <c r="B173" s="58" t="n">
        <v>0.53</v>
      </c>
      <c r="C173" s="25" t="n">
        <f aca="false">Прогноз!E29</f>
        <v>100.53</v>
      </c>
      <c r="D173" s="112" t="n">
        <f aca="false">C173*D172/100</f>
        <v>282.176857116725</v>
      </c>
      <c r="E173" s="118" t="n">
        <v>106.68</v>
      </c>
      <c r="F173" s="110" t="n">
        <v>281.228290885674</v>
      </c>
      <c r="G173" s="4" t="n">
        <f aca="false">F173/F172*100</f>
        <v>100.275130292997</v>
      </c>
      <c r="H173" s="84" t="n">
        <f aca="false">AVERAGE(G171:G173)^12/100^11-100</f>
        <v>3.47321152398743</v>
      </c>
      <c r="I173" s="4" t="n">
        <f aca="false">AVERAGE(G162:G173)^12/100^11-100</f>
        <v>6.3495329381084</v>
      </c>
      <c r="J173" s="58" t="n">
        <v>100.2</v>
      </c>
      <c r="K173" s="84" t="n">
        <f aca="false">AVERAGE(J171:J173)^12/100^11-100</f>
        <v>2.63120819651449</v>
      </c>
    </row>
    <row r="174" customFormat="false" ht="16.4" hidden="false" customHeight="false" outlineLevel="0" collapsed="false">
      <c r="A174" s="109" t="n">
        <v>45383</v>
      </c>
      <c r="C174" s="25" t="n">
        <f aca="false">Прогноз!E30</f>
        <v>100.38</v>
      </c>
      <c r="D174" s="112" t="n">
        <f aca="false">C174*D173/100</f>
        <v>283.249129173769</v>
      </c>
      <c r="E174" s="118" t="n">
        <v>106.32</v>
      </c>
      <c r="F174" s="110" t="n">
        <v>284.344100798409</v>
      </c>
      <c r="G174" s="4" t="n">
        <f aca="false">F174/F173*100</f>
        <v>101.107929043313</v>
      </c>
      <c r="H174" s="84" t="n">
        <f aca="false">AVERAGE(G172:G174)^12/100^11-100</f>
        <v>7.23970153105489</v>
      </c>
      <c r="I174" s="4" t="n">
        <f aca="false">AVERAGE(G163:G174)^12/100^11-100</f>
        <v>7.63174534571749</v>
      </c>
      <c r="J174" s="58" t="n">
        <v>100.26</v>
      </c>
      <c r="K174" s="84" t="n">
        <f aca="false">AVERAGE(J172:J174)^12/100^11-100</f>
        <v>2.22231945899691</v>
      </c>
    </row>
    <row r="175" customFormat="false" ht="16.4" hidden="false" customHeight="false" outlineLevel="0" collapsed="false">
      <c r="A175" s="109" t="n">
        <v>45413</v>
      </c>
      <c r="C175" s="25" t="n">
        <f aca="false">Прогноз!E31</f>
        <v>100.94</v>
      </c>
      <c r="D175" s="112" t="n">
        <f aca="false">C175*D174/100</f>
        <v>285.911670988002</v>
      </c>
      <c r="E175" s="118" t="n">
        <v>107.59</v>
      </c>
      <c r="F175" s="110" t="n">
        <v>285.984097037176</v>
      </c>
      <c r="G175" s="4" t="n">
        <f aca="false">F175/F174*100</f>
        <v>100.576764643318</v>
      </c>
      <c r="H175" s="84" t="n">
        <f aca="false">AVERAGE(G173:G175)^12/100^11-100</f>
        <v>8.12718728309683</v>
      </c>
      <c r="I175" s="4" t="n">
        <f aca="false">AVERAGE(G164:G175)^12/100^11-100</f>
        <v>7.36335174968595</v>
      </c>
      <c r="J175" s="58" t="n">
        <v>100.97</v>
      </c>
      <c r="K175" s="84" t="n">
        <f aca="false">AVERAGE(J173:J175)^12/100^11-100</f>
        <v>5.87236777082121</v>
      </c>
    </row>
    <row r="176" customFormat="false" ht="16.4" hidden="false" customHeight="false" outlineLevel="0" collapsed="false">
      <c r="A176" s="109" t="n">
        <v>45444</v>
      </c>
      <c r="C176" s="25" t="n">
        <f aca="false">Прогноз!E32</f>
        <v>100.18</v>
      </c>
      <c r="D176" s="112" t="n">
        <f aca="false">C176*D175/100</f>
        <v>286.42631199578</v>
      </c>
      <c r="E176" s="118" t="n">
        <v>107.33</v>
      </c>
      <c r="F176" s="110" t="n">
        <v>289.919725985218</v>
      </c>
      <c r="G176" s="4" t="n">
        <f aca="false">F176/F175*100</f>
        <v>101.376170559418</v>
      </c>
      <c r="H176" s="84" t="n">
        <f aca="false">AVERAGE(G174:G176)^12/100^11-100</f>
        <v>12.9544205470576</v>
      </c>
      <c r="I176" s="4" t="n">
        <f aca="false">AVERAGE(G165:G176)^12/100^11-100</f>
        <v>7.95588229361857</v>
      </c>
      <c r="J176" s="58" t="n">
        <v>100.5</v>
      </c>
      <c r="K176" s="84" t="n">
        <f aca="false">AVERAGE(J174:J176)^12/100^11-100</f>
        <v>7.14375346230894</v>
      </c>
    </row>
    <row r="177" customFormat="false" ht="16.4" hidden="false" customHeight="false" outlineLevel="0" collapsed="false">
      <c r="A177" s="109" t="n">
        <v>45474</v>
      </c>
      <c r="C177" s="25" t="n">
        <f aca="false">Прогноз!E33</f>
        <v>101.07</v>
      </c>
      <c r="D177" s="112" t="n">
        <f aca="false">C177*D176/100</f>
        <v>289.491073534135</v>
      </c>
      <c r="E177" s="118" t="n">
        <v>107.94</v>
      </c>
      <c r="F177" s="110" t="n">
        <v>291.921449281784</v>
      </c>
      <c r="G177" s="4" t="n">
        <f aca="false">F177/F176*100</f>
        <v>100.690440531345</v>
      </c>
      <c r="H177" s="84" t="n">
        <f aca="false">AVERAGE(G175:G177)^12/100^11-100</f>
        <v>11.1012674459374</v>
      </c>
      <c r="I177" s="4" t="n">
        <f aca="false">AVERAGE(G166:G177)^12/100^11-100</f>
        <v>8.13610566200403</v>
      </c>
      <c r="J177" s="58" t="n">
        <v>101.74</v>
      </c>
      <c r="K177" s="84" t="n">
        <f aca="false">AVERAGE(J175:J177)^12/100^11-100</f>
        <v>13.6232450381824</v>
      </c>
    </row>
    <row r="178" customFormat="false" ht="16.4" hidden="false" customHeight="false" outlineLevel="0" collapsed="false">
      <c r="A178" s="109" t="n">
        <v>45505</v>
      </c>
      <c r="C178" s="54" t="n">
        <f aca="false">Прогноз!E34</f>
        <v>100.09</v>
      </c>
      <c r="D178" s="112" t="n">
        <f aca="false">C178*D177/100</f>
        <v>289.751615500316</v>
      </c>
      <c r="E178" s="14" t="n">
        <f aca="false">Прогноз!F34</f>
        <v>108.1</v>
      </c>
      <c r="F178" s="110" t="n">
        <v>293.414217304472</v>
      </c>
      <c r="G178" s="4" t="n">
        <f aca="false">F178/F177*100</f>
        <v>100.51135948604</v>
      </c>
      <c r="H178" s="84" t="n">
        <f aca="false">AVERAGE(G176:G178)^12/100^11-100</f>
        <v>10.813484579048</v>
      </c>
      <c r="I178" s="4" t="n">
        <f aca="false">AVERAGE(G167:G178)^12/100^11-100</f>
        <v>6.91784548132169</v>
      </c>
      <c r="J178" s="58" t="n">
        <v>100.82</v>
      </c>
      <c r="K178" s="84" t="n">
        <f aca="false">AVERAGE(J176:J178)^12/100^11-100</f>
        <v>12.9505552292121</v>
      </c>
    </row>
    <row r="179" customFormat="false" ht="16.4" hidden="false" customHeight="false" outlineLevel="0" collapsed="false">
      <c r="A179" s="109" t="n">
        <v>45536</v>
      </c>
      <c r="C179" s="54" t="n">
        <f aca="false">Прогноз!E35</f>
        <v>100.62</v>
      </c>
      <c r="D179" s="112" t="n">
        <f aca="false">C179*D178/100</f>
        <v>291.548075516418</v>
      </c>
      <c r="E179" s="14" t="n">
        <f aca="false">Прогноз!F35</f>
        <v>106.91</v>
      </c>
      <c r="F179" s="110" t="n">
        <v>295.880059215935</v>
      </c>
      <c r="G179" s="4" t="n">
        <f aca="false">F179/F178*100</f>
        <v>100.840396192835</v>
      </c>
      <c r="H179" s="84" t="n">
        <f aca="false">AVERAGE(G177:G179)^12/100^11-100</f>
        <v>8.48167363164892</v>
      </c>
      <c r="I179" s="4" t="n">
        <f aca="false">AVERAGE(G168:G179)^12/100^11-100</f>
        <v>7.49668137577024</v>
      </c>
      <c r="J179" s="58" t="n">
        <v>100.91</v>
      </c>
      <c r="K179" s="84" t="n">
        <f aca="false">AVERAGE(J177:J179)^12/100^11-100</f>
        <v>14.7979464926246</v>
      </c>
    </row>
    <row r="180" customFormat="false" ht="16.4" hidden="false" customHeight="false" outlineLevel="0" collapsed="false">
      <c r="A180" s="109" t="n">
        <v>45566</v>
      </c>
      <c r="C180" s="54" t="n">
        <f aca="false">Прогноз!E36</f>
        <v>101.02</v>
      </c>
      <c r="D180" s="112" t="n">
        <f aca="false">C180*D179/100</f>
        <v>294.521865886685</v>
      </c>
      <c r="E180" s="14" t="n">
        <f aca="false">Прогноз!F36</f>
        <v>107.49</v>
      </c>
      <c r="F180" s="110" t="n">
        <v>300.042951064393</v>
      </c>
      <c r="G180" s="4" t="n">
        <f aca="false">F180/F179*100</f>
        <v>101.406952485913</v>
      </c>
      <c r="H180" s="84" t="n">
        <f aca="false">AVERAGE(G178:G180)^12/100^11-100</f>
        <v>11.6104001539861</v>
      </c>
      <c r="I180" s="4" t="n">
        <f aca="false">AVERAGE(G169:G180)^12/100^11-100</f>
        <v>8.31259272583067</v>
      </c>
      <c r="J180" s="58" t="n">
        <v>100.94</v>
      </c>
      <c r="K180" s="84" t="n">
        <f aca="false">AVERAGE(J178:J180)^12/100^11-100</f>
        <v>11.2186103609412</v>
      </c>
    </row>
    <row r="181" customFormat="false" ht="16.4" hidden="false" customHeight="false" outlineLevel="0" collapsed="false">
      <c r="A181" s="109" t="n">
        <v>45597</v>
      </c>
      <c r="C181" s="54" t="n">
        <f aca="false">Прогноз!E37</f>
        <v>101.5</v>
      </c>
      <c r="D181" s="112" t="n">
        <f aca="false">C181*D180/100</f>
        <v>298.939693874986</v>
      </c>
      <c r="E181" s="14" t="n">
        <f aca="false">Прогноз!F37</f>
        <v>108.31</v>
      </c>
      <c r="F181" s="110" t="n">
        <v>302.563725691339</v>
      </c>
      <c r="G181" s="4" t="n">
        <f aca="false">F181/F180*100</f>
        <v>100.840137926255</v>
      </c>
      <c r="H181" s="84" t="n">
        <f aca="false">AVERAGE(G179:G181)^12/100^11-100</f>
        <v>13.0735477635693</v>
      </c>
      <c r="I181" s="4" t="n">
        <f aca="false">AVERAGE(G170:G181)^12/100^11-100</f>
        <v>8.99927741848967</v>
      </c>
      <c r="J181" s="58" t="n">
        <v>101.17</v>
      </c>
      <c r="K181" s="84" t="n">
        <f aca="false">AVERAGE(J179:J181)^12/100^11-100</f>
        <v>12.7717888903094</v>
      </c>
    </row>
    <row r="182" customFormat="false" ht="16.4" hidden="false" customHeight="false" outlineLevel="0" collapsed="false">
      <c r="A182" s="109" t="n">
        <v>45627</v>
      </c>
      <c r="C182" s="54" t="n">
        <f aca="false">Прогноз!E38</f>
        <v>100.91</v>
      </c>
      <c r="D182" s="112" t="n">
        <f aca="false">C182*D181/100</f>
        <v>301.660045089248</v>
      </c>
      <c r="E182" s="14" t="n">
        <f aca="false">Прогноз!F38</f>
        <v>108.98</v>
      </c>
      <c r="F182" s="110" t="n">
        <v>303.759083172251</v>
      </c>
      <c r="G182" s="4" t="n">
        <f aca="false">F182/F181*100</f>
        <v>100.395076269695</v>
      </c>
      <c r="H182" s="84" t="n">
        <f aca="false">AVERAGE(G180:G182)^12/100^11-100</f>
        <v>11.0959414037418</v>
      </c>
      <c r="I182" s="4" t="n">
        <f aca="false">AVERAGE(G171:G182)^12/100^11-100</f>
        <v>8.94722067110317</v>
      </c>
      <c r="J182" s="58" t="n">
        <v>100.86</v>
      </c>
      <c r="K182" s="84" t="n">
        <f aca="false">AVERAGE(J180:J182)^12/100^11-100</f>
        <v>12.5486956926018</v>
      </c>
    </row>
    <row r="183" customFormat="false" ht="16.4" hidden="false" customHeight="false" outlineLevel="0" collapsed="false">
      <c r="A183" s="109" t="n">
        <v>45658</v>
      </c>
      <c r="C183" s="54" t="n">
        <f aca="false">Прогноз!E39</f>
        <v>100.84</v>
      </c>
      <c r="D183" s="112" t="n">
        <f aca="false">C183*D182/100</f>
        <v>304.193989467998</v>
      </c>
      <c r="E183" s="14" t="n">
        <f aca="false">Прогноз!F39</f>
        <v>108.95</v>
      </c>
      <c r="F183" s="110" t="n">
        <v>306.795358806811</v>
      </c>
      <c r="G183" s="4" t="n">
        <f aca="false">F183/F182*100</f>
        <v>100.999567026227</v>
      </c>
      <c r="H183" s="84" t="n">
        <f aca="false">AVERAGE(G181:G183)^12/100^11-100</f>
        <v>9.31461812451209</v>
      </c>
      <c r="I183" s="4" t="n">
        <f aca="false">AVERAGE(G172:G183)^12/100^11-100</f>
        <v>9.80416743174935</v>
      </c>
      <c r="J183" s="58" t="n">
        <v>100.28</v>
      </c>
      <c r="K183" s="84" t="n">
        <f aca="false">AVERAGE(J181:J183)^12/100^11-100</f>
        <v>9.64153389671191</v>
      </c>
    </row>
    <row r="184" customFormat="false" ht="16.4" hidden="false" customHeight="false" outlineLevel="0" collapsed="false">
      <c r="A184" s="109" t="n">
        <v>45689</v>
      </c>
      <c r="C184" s="54" t="n">
        <f aca="false">Прогноз!E40</f>
        <v>101.34</v>
      </c>
      <c r="D184" s="112" t="n">
        <f aca="false">C184*D183/100</f>
        <v>308.270188926869</v>
      </c>
      <c r="E184" s="14" t="n">
        <f aca="false">Прогноз!F40</f>
        <v>109.83</v>
      </c>
      <c r="F184" s="110" t="n">
        <v>308.780467987434</v>
      </c>
      <c r="G184" s="4" t="n">
        <f aca="false">F184/F183*100</f>
        <v>100.647046679045</v>
      </c>
      <c r="H184" s="84" t="n">
        <f aca="false">AVERAGE(G182:G184)^12/100^11-100</f>
        <v>8.4794918143305</v>
      </c>
      <c r="I184" s="4" t="n">
        <f aca="false">AVERAGE(G173:G184)^12/100^11-100</f>
        <v>10.1069977216879</v>
      </c>
      <c r="J184" s="58" t="n">
        <v>100.88</v>
      </c>
      <c r="K184" s="84" t="n">
        <f aca="false">AVERAGE(J182:J184)^12/100^11-100</f>
        <v>8.38604822225456</v>
      </c>
    </row>
    <row r="185" customFormat="false" ht="16.4" hidden="false" customHeight="false" outlineLevel="0" collapsed="false">
      <c r="A185" s="109" t="n">
        <v>45717</v>
      </c>
      <c r="C185" s="54" t="n">
        <f aca="false">Прогноз!E41</f>
        <v>100.81</v>
      </c>
      <c r="D185" s="112" t="n">
        <f aca="false">C185*D184/100</f>
        <v>310.767177457176</v>
      </c>
      <c r="E185" s="14" t="n">
        <f aca="false">Прогноз!F41</f>
        <v>110.13</v>
      </c>
      <c r="F185" s="110" t="n">
        <v>310.171132961781</v>
      </c>
      <c r="G185" s="4" t="n">
        <f aca="false">F185/F184*100</f>
        <v>100.450373361829</v>
      </c>
      <c r="H185" s="84" t="n">
        <f aca="false">AVERAGE(G183:G185)^12/100^11-100</f>
        <v>8.71805401926893</v>
      </c>
      <c r="I185" s="4" t="n">
        <f aca="false">AVERAGE(G174:G185)^12/100^11-100</f>
        <v>10.2985632051013</v>
      </c>
      <c r="J185" s="58" t="n">
        <v>100.35</v>
      </c>
      <c r="K185" s="84" t="n">
        <f aca="false">AVERAGE(J183:J185)^12/100^11-100</f>
        <v>6.21004472897121</v>
      </c>
    </row>
    <row r="186" customFormat="false" ht="16.4" hidden="false" customHeight="false" outlineLevel="0" collapsed="false">
      <c r="A186" s="109" t="n">
        <v>45748</v>
      </c>
      <c r="C186" s="54" t="n">
        <f aca="false">Прогноз!E42</f>
        <v>100.53</v>
      </c>
      <c r="D186" s="112" t="n">
        <f aca="false">C186*D185/100</f>
        <v>312.414243497699</v>
      </c>
      <c r="E186" s="14" t="n">
        <f aca="false">Прогноз!F42</f>
        <v>110.3</v>
      </c>
      <c r="F186" s="110" t="n">
        <v>310.516986037509</v>
      </c>
      <c r="G186" s="4" t="n">
        <f aca="false">F186/F185*100</f>
        <v>100.111503953455</v>
      </c>
      <c r="H186" s="84" t="n">
        <f aca="false">AVERAGE(G184:G186)^12/100^11-100</f>
        <v>4.94432522479008</v>
      </c>
      <c r="I186" s="4" t="n">
        <f aca="false">AVERAGE(G175:G186)^12/100^11-100</f>
        <v>9.21338589984002</v>
      </c>
      <c r="J186" s="58" t="n">
        <v>100.25</v>
      </c>
      <c r="K186" s="84" t="n">
        <f aca="false">AVERAGE(J184:J186)^12/100^11-100</f>
        <v>6.08330034646106</v>
      </c>
    </row>
    <row r="187" customFormat="false" ht="16.4" hidden="false" customHeight="false" outlineLevel="0" collapsed="false">
      <c r="A187" s="109" t="n">
        <v>45778</v>
      </c>
      <c r="C187" s="54" t="n">
        <f aca="false">Прогноз!E43</f>
        <v>99.93</v>
      </c>
      <c r="D187" s="112" t="n">
        <f aca="false">C187*D186/100</f>
        <v>312.195553527251</v>
      </c>
      <c r="E187" s="14" t="n">
        <f aca="false">Прогноз!F43</f>
        <v>109.2</v>
      </c>
      <c r="F187" s="110" t="n">
        <v>311.623855320091</v>
      </c>
      <c r="G187" s="4" t="n">
        <f aca="false">F187/F186*100</f>
        <v>100.356460139816</v>
      </c>
      <c r="H187" s="84" t="n">
        <f aca="false">AVERAGE(G185:G187)^12/100^11-100</f>
        <v>3.73583044442933</v>
      </c>
      <c r="I187" s="4" t="n">
        <f aca="false">AVERAGE(G176:G187)^12/100^11-100</f>
        <v>8.97478376438222</v>
      </c>
      <c r="J187" s="58" t="n">
        <v>99.98</v>
      </c>
      <c r="K187" s="84" t="n">
        <f aca="false">AVERAGE(J185:J187)^12/100^11-100</f>
        <v>2.34482900718913</v>
      </c>
    </row>
    <row r="188" customFormat="false" ht="16.4" hidden="false" customHeight="false" outlineLevel="0" collapsed="false">
      <c r="A188" s="109" t="n">
        <v>45809</v>
      </c>
      <c r="C188" s="54" t="n">
        <f aca="false">Прогноз!E44</f>
        <v>99.96</v>
      </c>
      <c r="D188" s="112" t="n">
        <f aca="false">C188*D187/100</f>
        <v>312.07067530584</v>
      </c>
      <c r="E188" s="14" t="n">
        <f aca="false">Прогноз!F44</f>
        <v>108.96</v>
      </c>
      <c r="F188" s="110" t="n">
        <v>313.684936229571</v>
      </c>
      <c r="G188" s="4" t="n">
        <f aca="false">F188/F187*100</f>
        <v>100.661400234383</v>
      </c>
      <c r="H188" s="84" t="n">
        <f aca="false">AVERAGE(G186:G188)^12/100^11-100</f>
        <v>4.61217503406927</v>
      </c>
      <c r="I188" s="4" t="n">
        <f aca="false">AVERAGE(G177:G188)^12/100^11-100</f>
        <v>8.20393370952387</v>
      </c>
      <c r="J188" s="58" t="n">
        <v>100.32</v>
      </c>
      <c r="K188" s="84" t="n">
        <f aca="false">AVERAGE(J186:J188)^12/100^11-100</f>
        <v>2.22231945899691</v>
      </c>
    </row>
    <row r="189" customFormat="false" ht="16.4" hidden="false" customHeight="false" outlineLevel="0" collapsed="false">
      <c r="A189" s="109" t="n">
        <v>45839</v>
      </c>
      <c r="C189" s="54" t="n">
        <f aca="false">Прогноз!E45</f>
        <v>100.36</v>
      </c>
      <c r="D189" s="112" t="n">
        <f aca="false">C189*D188/100</f>
        <v>313.194129736941</v>
      </c>
      <c r="E189" s="14" t="n">
        <f aca="false">Прогноз!F45</f>
        <v>108.19</v>
      </c>
      <c r="F189" s="110" t="n">
        <v>313.775956520238</v>
      </c>
      <c r="G189" s="4" t="n">
        <f aca="false">F189/F188*100</f>
        <v>100.029016468486</v>
      </c>
      <c r="H189" s="84" t="n">
        <f aca="false">AVERAGE(G187:G189)^12/100^11-100</f>
        <v>4.26881935917677</v>
      </c>
      <c r="I189" s="4" t="n">
        <f aca="false">AVERAGE(G178:G189)^12/100^11-100</f>
        <v>7.49507134694723</v>
      </c>
      <c r="J189" s="58" t="n">
        <v>101.01</v>
      </c>
      <c r="K189" s="84" t="n">
        <f aca="false">AVERAGE(J187:J189)^12/100^11-100</f>
        <v>5.36769723478612</v>
      </c>
    </row>
    <row r="190" customFormat="false" ht="16.4" hidden="false" customHeight="false" outlineLevel="0" collapsed="false">
      <c r="A190" s="109" t="n">
        <v>45870</v>
      </c>
      <c r="C190" s="54" t="n">
        <f aca="false">Прогноз!E46</f>
        <v>99.43</v>
      </c>
      <c r="D190" s="112" t="n">
        <f aca="false">C190*D189/100</f>
        <v>311.408923197441</v>
      </c>
      <c r="E190" s="14" t="n">
        <f aca="false">Прогноз!F46</f>
        <v>107.48</v>
      </c>
      <c r="F190" s="110" t="n">
        <v>316.544704023681</v>
      </c>
      <c r="G190" s="4" t="n">
        <f aca="false">F190/F189*100</f>
        <v>100.882396323207</v>
      </c>
      <c r="H190" s="84" t="n">
        <f aca="false">AVERAGE(G188:G190)^12/100^11-100</f>
        <v>6.47586770187839</v>
      </c>
      <c r="I190" s="4" t="n">
        <f aca="false">AVERAGE(G179:G190)^12/100^11-100</f>
        <v>7.8921935055086</v>
      </c>
      <c r="J190" s="58" t="n">
        <v>100.14</v>
      </c>
      <c r="K190" s="84" t="n">
        <f aca="false">AVERAGE(J188:J190)^12/100^11-100</f>
        <v>6.04108303876978</v>
      </c>
    </row>
    <row r="191" customFormat="false" ht="16.4" hidden="false" customHeight="false" outlineLevel="0" collapsed="false">
      <c r="A191" s="109" t="n">
        <v>45901</v>
      </c>
      <c r="C191" s="54" t="n">
        <f aca="false">Прогноз!E47</f>
        <v>101</v>
      </c>
      <c r="D191" s="112" t="n">
        <f aca="false">C191*D190/100</f>
        <v>314.523012429415</v>
      </c>
      <c r="E191" s="14" t="n">
        <f aca="false">Прогноз!F47</f>
        <v>107.88</v>
      </c>
      <c r="F191" s="110" t="n">
        <v>317.60462431833</v>
      </c>
      <c r="G191" s="4" t="n">
        <f aca="false">F191/F190*100</f>
        <v>100.334840634254</v>
      </c>
      <c r="H191" s="84" t="n">
        <f aca="false">AVERAGE(G189:G191)^12/100^11-100</f>
        <v>5.1005032028738</v>
      </c>
      <c r="I191" s="4" t="n">
        <f aca="false">AVERAGE(G180:G191)^12/100^11-100</f>
        <v>7.35142670412085</v>
      </c>
      <c r="J191" s="58" t="n">
        <v>101.27</v>
      </c>
      <c r="K191" s="84" t="n">
        <f aca="false">AVERAGE(J189:J191)^12/100^11-100</f>
        <v>10.1212296126819</v>
      </c>
    </row>
    <row r="192" customFormat="false" ht="16.4" hidden="false" customHeight="false" outlineLevel="0" collapsed="false">
      <c r="A192" s="109" t="n">
        <v>45931</v>
      </c>
      <c r="C192" s="54" t="n">
        <f aca="false">Прогноз!E48</f>
        <v>100.53</v>
      </c>
      <c r="D192" s="112" t="n">
        <f aca="false">C192*D191/100</f>
        <v>316.189984395291</v>
      </c>
      <c r="E192" s="14" t="n">
        <f aca="false">Прогноз!F48</f>
        <v>107.36</v>
      </c>
      <c r="F192" s="110" t="n">
        <v>317.842804909083</v>
      </c>
      <c r="G192" s="4" t="n">
        <f aca="false">F192/F191*100</f>
        <v>100.074992796866</v>
      </c>
      <c r="H192" s="84" t="n">
        <f aca="false">AVERAGE(G190:G192)^12/100^11-100</f>
        <v>5.29315064971463</v>
      </c>
      <c r="I192" s="4" t="n">
        <f aca="false">AVERAGE(G181:G192)^12/100^11-100</f>
        <v>5.93857161050218</v>
      </c>
      <c r="J192" s="58" t="n">
        <v>100.5</v>
      </c>
      <c r="K192" s="119" t="n">
        <f aca="false">AVERAGE(J190:J192)^12/100^11-100</f>
        <v>7.91328702306507</v>
      </c>
    </row>
    <row r="193" customFormat="false" ht="16.4" hidden="false" customHeight="false" outlineLevel="0" collapsed="false">
      <c r="A193" s="109" t="n">
        <v>45962</v>
      </c>
      <c r="C193" s="54" t="n">
        <f aca="false">Прогноз!E49</f>
        <v>100.15</v>
      </c>
      <c r="D193" s="112" t="n">
        <f aca="false">C193*D192/100</f>
        <v>316.664269371884</v>
      </c>
      <c r="E193" s="14" t="n">
        <f aca="false">Прогноз!F49</f>
        <v>105.93</v>
      </c>
      <c r="F193" s="110" t="n">
        <v>318.596955844387</v>
      </c>
      <c r="G193" s="4" t="n">
        <f aca="false">F193/F192*100</f>
        <v>100.237271671297</v>
      </c>
      <c r="H193" s="84" t="n">
        <f aca="false">AVERAGE(G191:G193)^12/100^11-100</f>
        <v>2.61935024463169</v>
      </c>
      <c r="I193" s="4" t="n">
        <f aca="false">AVERAGE(G182:G193)^12/100^11-100</f>
        <v>5.30471162853084</v>
      </c>
      <c r="J193" s="58" t="n">
        <v>99.94</v>
      </c>
      <c r="K193" s="84" t="n">
        <f aca="false">AVERAGE(J191:J193)^12/100^11-100</f>
        <v>7.0585609779295</v>
      </c>
    </row>
    <row r="194" customFormat="false" ht="16.4" hidden="false" customHeight="false" outlineLevel="0" collapsed="false">
      <c r="A194" s="109" t="n">
        <v>45992</v>
      </c>
      <c r="C194" s="54" t="n">
        <f aca="false">Прогноз!E50</f>
        <v>100.29</v>
      </c>
      <c r="D194" s="112" t="n">
        <f aca="false">C194*D193/100</f>
        <v>317.582595753062</v>
      </c>
      <c r="E194" s="14" t="n">
        <f aca="false">Прогноз!F50</f>
        <v>105.28</v>
      </c>
      <c r="F194" s="110" t="n">
        <v>322.200056538297</v>
      </c>
      <c r="G194" s="4" t="n">
        <f aca="false">F194/F193*100</f>
        <v>101.130927533303</v>
      </c>
      <c r="H194" s="84" t="n">
        <f aca="false">AVERAGE(G192:G194)^12/100^11-100</f>
        <v>5.92798285888964</v>
      </c>
      <c r="I194" s="4" t="n">
        <f aca="false">AVERAGE(G183:G194)^12/100^11-100</f>
        <v>6.07886345085812</v>
      </c>
      <c r="J194" s="58" t="n">
        <v>100.26</v>
      </c>
      <c r="K194" s="119" t="n">
        <f aca="false">AVERAGE(J192:J194)^12/100^11-100</f>
        <v>2.83621428758538</v>
      </c>
    </row>
    <row r="195" customFormat="false" ht="16.4" hidden="false" customHeight="false" outlineLevel="0" collapsed="false">
      <c r="A195" s="109" t="n">
        <v>46023</v>
      </c>
      <c r="C195" s="54" t="n">
        <f aca="false">Прогноз!E51</f>
        <v>101.6</v>
      </c>
      <c r="D195" s="112" t="n">
        <f aca="false">C195*D194/100</f>
        <v>322.663917285111</v>
      </c>
      <c r="E195" s="14" t="n">
        <f aca="false">Прогноз!F51</f>
        <v>106.07</v>
      </c>
      <c r="F195" s="120" t="n">
        <v>324.608292059824</v>
      </c>
      <c r="G195" s="4" t="n">
        <f aca="false">F195/F194*100</f>
        <v>100.747434853799</v>
      </c>
      <c r="H195" s="84" t="n">
        <f aca="false">AVERAGE(G193:G195)^12/100^11-100</f>
        <v>8.79860906226409</v>
      </c>
      <c r="I195" s="4" t="n">
        <f aca="false">AVERAGE(G184:G195)^12/100^11-100</f>
        <v>5.81302240592493</v>
      </c>
      <c r="J195" s="58" t="n">
        <v>100.98</v>
      </c>
      <c r="K195" s="84" t="n">
        <f aca="false">AVERAGE(J193:J195)^12/100^11-100</f>
        <v>4.82346002314171</v>
      </c>
    </row>
    <row r="196" customFormat="false" ht="16.4" hidden="false" customHeight="false" outlineLevel="0" collapsed="false">
      <c r="A196" s="109" t="n">
        <v>46054</v>
      </c>
      <c r="C196" s="54" t="n">
        <f aca="false">Прогноз!E52</f>
        <v>101.1</v>
      </c>
      <c r="D196" s="112" t="n">
        <f aca="false">C196*D195/100</f>
        <v>326.213220375248</v>
      </c>
      <c r="E196" s="14" t="n">
        <f aca="false">Прогноз!F52</f>
        <v>105.82</v>
      </c>
      <c r="F196" s="120" t="n">
        <v>325.831755565598</v>
      </c>
      <c r="G196" s="4" t="n">
        <f aca="false">F196/F195*100</f>
        <v>100.376904575669</v>
      </c>
      <c r="H196" s="84" t="n">
        <f aca="false">AVERAGE(G194:G196)^12/100^11-100</f>
        <v>9.40356457559955</v>
      </c>
      <c r="I196" s="4" t="n">
        <f aca="false">AVERAGE(G185:G196)^12/100^11-100</f>
        <v>5.52886999601284</v>
      </c>
      <c r="J196" s="58" t="n">
        <v>100.62</v>
      </c>
      <c r="K196" s="84" t="n">
        <f aca="false">AVERAGE(J194:J196)^12/100^11-100</f>
        <v>7.69902108971681</v>
      </c>
    </row>
    <row r="197" customFormat="false" ht="16.4" hidden="false" customHeight="false" outlineLevel="0" collapsed="false">
      <c r="A197" s="109" t="n">
        <v>46082</v>
      </c>
      <c r="C197" s="54" t="n">
        <f aca="false">Прогноз!E53</f>
        <v>100.54</v>
      </c>
      <c r="D197" s="112" t="n">
        <f aca="false">C197*D196/100</f>
        <v>327.974771765274</v>
      </c>
      <c r="E197" s="14" t="n">
        <f aca="false">Прогноз!F53</f>
        <v>105.54</v>
      </c>
      <c r="F197" s="120" t="n">
        <v>324.713944935011</v>
      </c>
      <c r="G197" s="4" t="n">
        <f aca="false">F197/F196*100</f>
        <v>99.6569362526846</v>
      </c>
      <c r="H197" s="84" t="n">
        <f aca="false">AVERAGE(G195:G197)^12/100^11-100</f>
        <v>3.17025564466823</v>
      </c>
      <c r="I197" s="4" t="n">
        <f aca="false">AVERAGE(G186:G197)^12/100^11-100</f>
        <v>4.69832242874274</v>
      </c>
      <c r="J197" s="56" t="n">
        <f aca="false">G197</f>
        <v>99.6569362526846</v>
      </c>
      <c r="K197" s="84" t="n">
        <f aca="false">AVERAGE(J195:J197)^12/100^11-100</f>
        <v>5.14523695006385</v>
      </c>
    </row>
    <row r="198" customFormat="false" ht="16.4" hidden="false" customHeight="false" outlineLevel="0" collapsed="false">
      <c r="A198" s="109" t="n">
        <v>46113</v>
      </c>
      <c r="C198" s="54" t="n">
        <f aca="false">Прогноз!E54</f>
        <v>99.72</v>
      </c>
      <c r="D198" s="112" t="n">
        <f aca="false">C198*D197/100</f>
        <v>327.056442404331</v>
      </c>
      <c r="E198" s="14" t="n">
        <f aca="false">Прогноз!F54</f>
        <v>104.69</v>
      </c>
      <c r="F198" s="120" t="n">
        <v>325.001429447453</v>
      </c>
      <c r="G198" s="4" t="n">
        <f aca="false">F198/F197*100</f>
        <v>100.088534698594</v>
      </c>
      <c r="H198" s="84" t="n">
        <f aca="false">AVERAGE(G196:G198)^12/100^11-100</f>
        <v>0.490601825550883</v>
      </c>
      <c r="I198" s="4" t="n">
        <f aca="false">AVERAGE(G187:G198)^12/100^11-100</f>
        <v>4.67436835178418</v>
      </c>
      <c r="J198" s="56" t="n">
        <f aca="false">G198</f>
        <v>100.088534698594</v>
      </c>
      <c r="K198" s="84" t="n">
        <f aca="false">AVERAGE(J196:J198)^12/100^11-100</f>
        <v>1.47171875121516</v>
      </c>
    </row>
    <row r="199" customFormat="false" ht="16.4" hidden="false" customHeight="false" outlineLevel="0" collapsed="false">
      <c r="A199" s="109" t="n">
        <v>46143</v>
      </c>
      <c r="C199" s="54" t="n">
        <f aca="false">Прогноз!E55</f>
        <v>100.09</v>
      </c>
      <c r="D199" s="112" t="n">
        <f aca="false">C199*D198/100</f>
        <v>327.350793202495</v>
      </c>
      <c r="E199" s="14" t="n">
        <f aca="false">Прогноз!F55</f>
        <v>104.85</v>
      </c>
      <c r="F199" s="120" t="n">
        <v>326.275186542192</v>
      </c>
      <c r="G199" s="4" t="n">
        <f aca="false">F199/F198*100</f>
        <v>100.391923536122</v>
      </c>
      <c r="H199" s="84" t="n">
        <f aca="false">AVERAGE(G197:G199)^12/100^11-100</f>
        <v>0.550964396424774</v>
      </c>
      <c r="I199" s="4" t="n">
        <f aca="false">AVERAGE(G188:G199)^12/100^11-100</f>
        <v>4.71135437477264</v>
      </c>
      <c r="J199" s="56" t="n">
        <f aca="false">G199</f>
        <v>100.391923536122</v>
      </c>
      <c r="K199" s="84" t="n">
        <f aca="false">AVERAGE(J197:J199)^12/100^11-100</f>
        <v>0.550964396424774</v>
      </c>
    </row>
    <row r="200" customFormat="false" ht="16.4" hidden="false" customHeight="false" outlineLevel="0" collapsed="false">
      <c r="A200" s="109" t="n">
        <v>46174</v>
      </c>
      <c r="C200" s="54" t="n">
        <f aca="false">Прогноз!E56</f>
        <v>101.06</v>
      </c>
      <c r="D200" s="112" t="n">
        <f aca="false">C200*D199/100</f>
        <v>330.820711610442</v>
      </c>
      <c r="E200" s="14" t="n">
        <f aca="false">Прогноз!F56</f>
        <v>106.01</v>
      </c>
      <c r="F200" s="120" t="n">
        <v>326.933677652924</v>
      </c>
      <c r="G200" s="4" t="n">
        <f aca="false">F200/F199*100</f>
        <v>100.20182077519</v>
      </c>
      <c r="H200" s="84" t="n">
        <f aca="false">AVERAGE(G198:G200)^12/100^11-100</f>
        <v>2.76351316466132</v>
      </c>
      <c r="I200" s="4" t="n">
        <f aca="false">AVERAGE(G189:G200)^12/100^11-100</f>
        <v>4.23296982609043</v>
      </c>
      <c r="J200" s="56" t="n">
        <f aca="false">G200</f>
        <v>100.20182077519</v>
      </c>
      <c r="K200" s="84" t="n">
        <f aca="false">AVERAGE(J198:J200)^12/100^11-100</f>
        <v>2.76351316466132</v>
      </c>
    </row>
    <row r="201" customFormat="false" ht="16.4" hidden="false" customHeight="false" outlineLevel="0" collapsed="false">
      <c r="A201" s="109" t="n">
        <v>46204</v>
      </c>
      <c r="C201" s="54" t="n">
        <f aca="false">Прогноз!E57</f>
        <v>101.4</v>
      </c>
      <c r="D201" s="112" t="n">
        <f aca="false">C201*D200/100</f>
        <v>335.452201572988</v>
      </c>
      <c r="E201" s="14" t="n">
        <f aca="false">Прогноз!F57</f>
        <v>107.11</v>
      </c>
      <c r="F201" s="120" t="n">
        <v>328.394228080781</v>
      </c>
      <c r="G201" s="4" t="n">
        <f aca="false">F201/F200*100</f>
        <v>100.446742115509</v>
      </c>
      <c r="H201" s="84" t="n">
        <f aca="false">AVERAGE(G199:G201)^12/100^11-100</f>
        <v>4.24226229922445</v>
      </c>
      <c r="I201" s="4" t="n">
        <f aca="false">AVERAGE(G190:G201)^12/100^11-100</f>
        <v>4.66770483592119</v>
      </c>
      <c r="J201" s="56" t="n">
        <f aca="false">G201</f>
        <v>100.446742115509</v>
      </c>
      <c r="K201" s="84" t="n">
        <f aca="false">AVERAGE(J199:J201)^12/100^11-100</f>
        <v>4.24226229922445</v>
      </c>
    </row>
    <row r="202" customFormat="false" ht="16.4" hidden="false" customHeight="false" outlineLevel="0" collapsed="false">
      <c r="A202" s="109" t="n">
        <v>46235</v>
      </c>
      <c r="C202" s="54" t="n">
        <f aca="false">Прогноз!E58</f>
        <v>100</v>
      </c>
      <c r="D202" s="112" t="n">
        <f aca="false">C202*D201/100</f>
        <v>335.452201572988</v>
      </c>
      <c r="E202" s="14" t="n">
        <f aca="false">Прогноз!F58</f>
        <v>107.72</v>
      </c>
      <c r="F202" s="120" t="n">
        <v>329.480823059084</v>
      </c>
      <c r="G202" s="4" t="n">
        <f aca="false">F202/F201*100</f>
        <v>100.330881265683</v>
      </c>
      <c r="H202" s="84" t="n">
        <f aca="false">AVERAGE(G200:G202)^12/100^11-100</f>
        <v>3.98889733466923</v>
      </c>
      <c r="I202" s="4" t="n">
        <f aca="false">AVERAGE(G191:G202)^12/100^11-100</f>
        <v>4.09408300048887</v>
      </c>
      <c r="J202" s="56" t="n">
        <f aca="false">G202</f>
        <v>100.330881265683</v>
      </c>
      <c r="K202" s="84" t="n">
        <f aca="false">AVERAGE(J200:J202)^12/100^11-100</f>
        <v>3.98889733466923</v>
      </c>
    </row>
    <row r="203" customFormat="false" ht="16.4" hidden="false" customHeight="false" outlineLevel="0" collapsed="false">
      <c r="A203" s="109" t="n">
        <v>46266</v>
      </c>
      <c r="C203" s="54" t="n">
        <f aca="false">Прогноз!E59</f>
        <v>100.5</v>
      </c>
      <c r="D203" s="112" t="n">
        <f aca="false">C203*D202/100</f>
        <v>337.129462580853</v>
      </c>
      <c r="E203" s="14" t="n">
        <f aca="false">Прогноз!F59</f>
        <v>107.19</v>
      </c>
      <c r="F203" s="120" t="n">
        <v>333.070688292444</v>
      </c>
      <c r="G203" s="4" t="n">
        <f aca="false">F203/F202*100</f>
        <v>101.08955210201</v>
      </c>
      <c r="H203" s="84" t="n">
        <f aca="false">AVERAGE(G201:G203)^12/100^11-100</f>
        <v>7.72974633557205</v>
      </c>
      <c r="I203" s="4" t="n">
        <f aca="false">AVERAGE(G192:G203)^12/100^11-100</f>
        <v>4.87977552352112</v>
      </c>
      <c r="J203" s="56" t="n">
        <f aca="false">G203</f>
        <v>101.08955210201</v>
      </c>
      <c r="K203" s="84" t="n">
        <f aca="false">AVERAGE(J201:J203)^12/100^11-100</f>
        <v>7.72974633557205</v>
      </c>
    </row>
    <row r="204" customFormat="false" ht="16.4" hidden="false" customHeight="false" outlineLevel="0" collapsed="false">
      <c r="A204" s="109" t="n">
        <v>46296</v>
      </c>
      <c r="C204" s="54" t="n">
        <f aca="false">Прогноз!E60</f>
        <v>101.3</v>
      </c>
      <c r="D204" s="112" t="n">
        <f aca="false">C204*D203/100</f>
        <v>341.512145594404</v>
      </c>
      <c r="E204" s="14" t="n">
        <f aca="false">Прогноз!F60</f>
        <v>108.01</v>
      </c>
      <c r="F204" s="120" t="n">
        <v>333.853941010906</v>
      </c>
      <c r="G204" s="4" t="n">
        <f aca="false">F204/F203*100</f>
        <v>100.235161107234</v>
      </c>
      <c r="H204" s="84" t="n">
        <f aca="false">AVERAGE(G202:G204)^12/100^11-100</f>
        <v>6.82712798651612</v>
      </c>
      <c r="I204" s="4" t="n">
        <f aca="false">AVERAGE(G193:G204)^12/100^11-100</f>
        <v>5.04721644672176</v>
      </c>
      <c r="J204" s="56" t="n">
        <f aca="false">G204</f>
        <v>100.235161107234</v>
      </c>
      <c r="K204" s="84" t="n">
        <f aca="false">AVERAGE(J202:J204)^12/100^11-100</f>
        <v>6.82712798651612</v>
      </c>
    </row>
    <row r="205" customFormat="false" ht="16.4" hidden="false" customHeight="false" outlineLevel="0" collapsed="false">
      <c r="A205" s="109" t="n">
        <v>46327</v>
      </c>
      <c r="C205" s="54" t="n">
        <f aca="false">Прогноз!E61</f>
        <v>100.45</v>
      </c>
      <c r="D205" s="112" t="n">
        <f aca="false">C205*D204/100</f>
        <v>343.048950249579</v>
      </c>
      <c r="E205" s="14" t="n">
        <f aca="false">Прогноз!F61</f>
        <v>108.33</v>
      </c>
      <c r="F205" s="120" t="n">
        <v>334.896307697015</v>
      </c>
      <c r="G205" s="4" t="n">
        <f aca="false">F205/F204*100</f>
        <v>100.312222369744</v>
      </c>
      <c r="H205" s="84" t="n">
        <f aca="false">AVERAGE(G203:G205)^12/100^11-100</f>
        <v>6.74786149889376</v>
      </c>
      <c r="I205" s="4" t="n">
        <f aca="false">AVERAGE(G194:G205)^12/100^11-100</f>
        <v>5.12565449385292</v>
      </c>
      <c r="J205" s="56" t="n">
        <f aca="false">G205</f>
        <v>100.312222369744</v>
      </c>
      <c r="K205" s="84" t="n">
        <f aca="false">AVERAGE(J203:J205)^12/100^11-100</f>
        <v>6.74786149889376</v>
      </c>
    </row>
    <row r="206" customFormat="false" ht="16.4" hidden="false" customHeight="false" outlineLevel="0" collapsed="false">
      <c r="A206" s="109" t="n">
        <v>46357</v>
      </c>
      <c r="C206" s="54" t="n">
        <f aca="false">Прогноз!E62</f>
        <v>100.5</v>
      </c>
      <c r="D206" s="112" t="n">
        <f aca="false">C206*D205/100</f>
        <v>344.764195000826</v>
      </c>
      <c r="E206" s="14" t="n">
        <f aca="false">Прогноз!F62</f>
        <v>108.56</v>
      </c>
      <c r="F206" s="120" t="n">
        <v>336.499047854978</v>
      </c>
      <c r="G206" s="4" t="n">
        <f aca="false">F206/F205*100</f>
        <v>100.478578031805</v>
      </c>
      <c r="H206" s="84" t="n">
        <f aca="false">AVERAGE(G204:G206)^12/100^11-100</f>
        <v>4.18192322924492</v>
      </c>
      <c r="I206" s="4" t="n">
        <f aca="false">AVERAGE(G195:G206)^12/100^11-100</f>
        <v>4.4447483041278</v>
      </c>
      <c r="J206" s="56" t="n">
        <f aca="false">G206</f>
        <v>100.478578031805</v>
      </c>
      <c r="K206" s="84" t="n">
        <f aca="false">AVERAGE(J204:J206)^12/100^11-100</f>
        <v>4.18192322924492</v>
      </c>
    </row>
    <row r="207" customFormat="false" ht="16.4" hidden="false" customHeight="false" outlineLevel="0" collapsed="false">
      <c r="A207" s="109" t="n">
        <v>46388</v>
      </c>
      <c r="C207" s="54" t="n">
        <f aca="false">Прогноз!E63</f>
        <v>100.9</v>
      </c>
      <c r="D207" s="112" t="n">
        <f aca="false">C207*D206/100</f>
        <v>347.867072755834</v>
      </c>
      <c r="E207" s="14" t="n">
        <f aca="false">Прогноз!F63</f>
        <v>107.81</v>
      </c>
      <c r="F207" s="120" t="n">
        <v>337.501233163054</v>
      </c>
      <c r="G207" s="4" t="n">
        <f aca="false">F207/F206*100</f>
        <v>100.297827085831</v>
      </c>
      <c r="H207" s="84" t="n">
        <f aca="false">AVERAGE(G205:G207)^12/100^11-100</f>
        <v>4.44247786271086</v>
      </c>
      <c r="I207" s="4" t="n">
        <f aca="false">AVERAGE(G196:G207)^12/100^11-100</f>
        <v>3.97781482947849</v>
      </c>
      <c r="J207" s="56" t="n">
        <f aca="false">G207</f>
        <v>100.297827085831</v>
      </c>
      <c r="K207" s="84" t="n">
        <f aca="false">AVERAGE(J205:J207)^12/100^11-100</f>
        <v>4.44247786271086</v>
      </c>
    </row>
    <row r="208" customFormat="false" ht="16.4" hidden="false" customHeight="false" outlineLevel="0" collapsed="false">
      <c r="A208" s="109" t="n">
        <v>46419</v>
      </c>
      <c r="C208" s="54" t="n">
        <f aca="false">Прогноз!E64</f>
        <v>100.65</v>
      </c>
      <c r="D208" s="112" t="n">
        <f aca="false">C208*D207/100</f>
        <v>350.128208728747</v>
      </c>
      <c r="E208" s="14" t="n">
        <f aca="false">Прогноз!F64</f>
        <v>107.33</v>
      </c>
      <c r="F208" s="120" t="n">
        <v>338.632991248897</v>
      </c>
      <c r="G208" s="4" t="n">
        <f aca="false">F208/F207*100</f>
        <v>100.335334503888</v>
      </c>
      <c r="H208" s="84" t="n">
        <f aca="false">AVERAGE(G206:G208)^12/100^11-100</f>
        <v>4.53872492299765</v>
      </c>
      <c r="I208" s="4" t="n">
        <f aca="false">AVERAGE(G197:G208)^12/100^11-100</f>
        <v>3.93473963359772</v>
      </c>
      <c r="J208" s="56" t="n">
        <f aca="false">G208</f>
        <v>100.335334503888</v>
      </c>
      <c r="K208" s="84" t="n">
        <f aca="false">AVERAGE(J206:J208)^12/100^11-100</f>
        <v>4.53872492299765</v>
      </c>
    </row>
    <row r="209" customFormat="false" ht="16.4" hidden="false" customHeight="false" outlineLevel="0" collapsed="false">
      <c r="A209" s="109" t="n">
        <v>46447</v>
      </c>
      <c r="C209" s="54" t="n">
        <f aca="false">Прогноз!E65</f>
        <v>100.5</v>
      </c>
      <c r="D209" s="112" t="n">
        <f aca="false">C209*D208/100</f>
        <v>351.878849772391</v>
      </c>
      <c r="E209" s="14" t="n">
        <f aca="false">Прогноз!F65</f>
        <v>107.29</v>
      </c>
      <c r="F209" s="120" t="n">
        <v>339.944119174233</v>
      </c>
      <c r="G209" s="4" t="n">
        <f aca="false">F209/F208*100</f>
        <v>100.387182572053</v>
      </c>
      <c r="H209" s="84" t="n">
        <f aca="false">AVERAGE(G207:G209)^12/100^11-100</f>
        <v>4.15859636592572</v>
      </c>
      <c r="I209" s="4" t="n">
        <f aca="false">AVERAGE(G198:G209)^12/100^11-100</f>
        <v>4.69381132221488</v>
      </c>
      <c r="J209" s="56" t="n">
        <f aca="false">G209</f>
        <v>100.387182572053</v>
      </c>
      <c r="K209" s="84" t="n">
        <f aca="false">AVERAGE(J207:J209)^12/100^11-100</f>
        <v>4.15859636592572</v>
      </c>
    </row>
    <row r="210" customFormat="false" ht="16.4" hidden="false" customHeight="false" outlineLevel="0" collapsed="false">
      <c r="A210" s="109" t="n">
        <v>46478</v>
      </c>
      <c r="C210" s="54" t="n">
        <f aca="false">Прогноз!E66</f>
        <v>100.45</v>
      </c>
      <c r="D210" s="112" t="n">
        <f aca="false">C210*D209/100</f>
        <v>353.462304596366</v>
      </c>
      <c r="E210" s="14" t="n">
        <f aca="false">Прогноз!F66</f>
        <v>108.07</v>
      </c>
      <c r="F210" s="120" t="n">
        <v>341.26140853276</v>
      </c>
      <c r="G210" s="4" t="n">
        <f aca="false">F210/F209*100</f>
        <v>100.387501734617</v>
      </c>
      <c r="H210" s="84" t="n">
        <f aca="false">AVERAGE(G208:G210)^12/100^11-100</f>
        <v>4.53155606015601</v>
      </c>
      <c r="I210" s="4" t="n">
        <f aca="false">AVERAGE(G199:G210)^12/100^11-100</f>
        <v>5.00604313185966</v>
      </c>
      <c r="J210" s="56" t="n">
        <f aca="false">G210</f>
        <v>100.387501734617</v>
      </c>
      <c r="K210" s="84" t="n">
        <f aca="false">AVERAGE(J208:J210)^12/100^11-100</f>
        <v>4.53155606015601</v>
      </c>
    </row>
    <row r="211" customFormat="false" ht="16.4" hidden="false" customHeight="false" outlineLevel="0" collapsed="false">
      <c r="A211" s="109" t="n">
        <v>46508</v>
      </c>
      <c r="C211" s="54" t="n">
        <f aca="false">Прогноз!E67</f>
        <v>100.2</v>
      </c>
      <c r="D211" s="112" t="n">
        <f aca="false">C211*D210/100</f>
        <v>354.169229205559</v>
      </c>
      <c r="E211" s="14" t="n">
        <f aca="false">Прогноз!F67</f>
        <v>108.19</v>
      </c>
      <c r="F211" s="120" t="n">
        <v>342.925410152259</v>
      </c>
      <c r="G211" s="4" t="n">
        <f aca="false">F211/F210*100</f>
        <v>100.487603220843</v>
      </c>
      <c r="H211" s="84" t="n">
        <f aca="false">AVERAGE(G209:G211)^12/100^11-100</f>
        <v>5.16765167845335</v>
      </c>
      <c r="I211" s="4" t="n">
        <f aca="false">AVERAGE(G200:G211)^12/100^11-100</f>
        <v>5.10614815225112</v>
      </c>
      <c r="J211" s="56" t="n">
        <f aca="false">G211</f>
        <v>100.487603220843</v>
      </c>
      <c r="K211" s="84" t="n">
        <f aca="false">AVERAGE(J209:J211)^12/100^11-100</f>
        <v>5.16765167845335</v>
      </c>
    </row>
    <row r="212" customFormat="false" ht="16.4" hidden="false" customHeight="false" outlineLevel="0" collapsed="false">
      <c r="A212" s="109" t="n">
        <v>46539</v>
      </c>
      <c r="C212" s="54" t="n">
        <f aca="false">Прогноз!E68</f>
        <v>100.15</v>
      </c>
      <c r="D212" s="112" t="n">
        <f aca="false">C212*D211/100</f>
        <v>354.700483049367</v>
      </c>
      <c r="E212" s="14" t="n">
        <f aca="false">Прогноз!F68</f>
        <v>107.22</v>
      </c>
      <c r="F212" s="120" t="n">
        <v>344.133144194206</v>
      </c>
      <c r="G212" s="4" t="n">
        <f aca="false">F212/F211*100</f>
        <v>100.352185637515</v>
      </c>
      <c r="H212" s="84" t="n">
        <f aca="false">AVERAGE(G210:G212)^12/100^11-100</f>
        <v>5.02114035319441</v>
      </c>
      <c r="I212" s="4" t="n">
        <f aca="false">AVERAGE(G201:G212)^12/100^11-100</f>
        <v>5.26364440460526</v>
      </c>
      <c r="J212" s="56" t="n">
        <f aca="false">G212</f>
        <v>100.352185637515</v>
      </c>
      <c r="K212" s="84" t="n">
        <f aca="false">AVERAGE(J210:J212)^12/100^11-100</f>
        <v>5.02114035319441</v>
      </c>
    </row>
    <row r="213" customFormat="false" ht="16.4" hidden="false" customHeight="false" outlineLevel="0" collapsed="false">
      <c r="A213" s="109" t="n">
        <v>46569</v>
      </c>
      <c r="C213" s="54" t="n">
        <f aca="false">Прогноз!E69</f>
        <v>100.05</v>
      </c>
      <c r="D213" s="112" t="n">
        <f aca="false">C213*D212/100</f>
        <v>354.877833290892</v>
      </c>
      <c r="E213" s="14" t="n">
        <f aca="false">Прогноз!F69</f>
        <v>105.79</v>
      </c>
      <c r="F213" s="120" t="n">
        <v>345.995487541435</v>
      </c>
      <c r="G213" s="4" t="n">
        <f aca="false">F213/F212*100</f>
        <v>100.541169421966</v>
      </c>
      <c r="H213" s="84" t="n">
        <f aca="false">AVERAGE(G211:G213)^12/100^11-100</f>
        <v>5.66585139026631</v>
      </c>
      <c r="I213" s="4" t="n">
        <f aca="false">AVERAGE(G202:G213)^12/100^11-100</f>
        <v>5.36266069141827</v>
      </c>
      <c r="J213" s="56" t="n">
        <f aca="false">G213</f>
        <v>100.541169421966</v>
      </c>
      <c r="K213" s="84" t="n">
        <f aca="false">AVERAGE(J211:J213)^12/100^11-100</f>
        <v>5.66585139026631</v>
      </c>
    </row>
    <row r="214" customFormat="false" ht="16.4" hidden="false" customHeight="false" outlineLevel="0" collapsed="false">
      <c r="A214" s="109" t="n">
        <v>46600</v>
      </c>
      <c r="C214" s="54" t="n">
        <f aca="false">Прогноз!E70</f>
        <v>99.95</v>
      </c>
      <c r="D214" s="112" t="n">
        <f aca="false">C214*D213/100</f>
        <v>354.700394374247</v>
      </c>
      <c r="E214" s="14" t="n">
        <f aca="false">Прогноз!F70</f>
        <v>105.74</v>
      </c>
      <c r="F214" s="120" t="n">
        <v>347.144245713653</v>
      </c>
      <c r="G214" s="4" t="n">
        <f aca="false">F214/F213*100</f>
        <v>100.332015362507</v>
      </c>
      <c r="H214" s="84" t="n">
        <f aca="false">AVERAGE(G212:G214)^12/100^11-100</f>
        <v>5.01310715767586</v>
      </c>
      <c r="I214" s="4" t="n">
        <f aca="false">AVERAGE(G203:G214)^12/100^11-100</f>
        <v>5.36385042179492</v>
      </c>
      <c r="J214" s="56" t="n">
        <f aca="false">G214</f>
        <v>100.332015362507</v>
      </c>
      <c r="K214" s="84" t="n">
        <f aca="false">AVERAGE(J212:J214)^12/100^11-100</f>
        <v>5.01310715767586</v>
      </c>
    </row>
    <row r="215" customFormat="false" ht="16.4" hidden="false" customHeight="false" outlineLevel="0" collapsed="false">
      <c r="A215" s="109" t="n">
        <v>46631</v>
      </c>
      <c r="C215" s="54" t="n">
        <f aca="false">Прогноз!E71</f>
        <v>100.45</v>
      </c>
      <c r="D215" s="112" t="n">
        <f aca="false">C215*D214/100</f>
        <v>356.296546148931</v>
      </c>
      <c r="E215" s="14" t="n">
        <f aca="false">Прогноз!F71</f>
        <v>105.69</v>
      </c>
      <c r="F215" s="120" t="n">
        <v>347.979510967459</v>
      </c>
      <c r="G215" s="4" t="n">
        <f aca="false">F215/F214*100</f>
        <v>100.240610427544</v>
      </c>
      <c r="H215" s="84" t="n">
        <f aca="false">AVERAGE(G213:G215)^12/100^11-100</f>
        <v>4.5472890611313</v>
      </c>
      <c r="I215" s="4" t="n">
        <f aca="false">AVERAGE(G204:G215)^12/100^11-100</f>
        <v>4.47670111272711</v>
      </c>
      <c r="J215" s="56" t="n">
        <f aca="false">G215</f>
        <v>100.240610427544</v>
      </c>
      <c r="K215" s="84" t="n">
        <f aca="false">AVERAGE(J213:J215)^12/100^11-100</f>
        <v>4.5472890611313</v>
      </c>
    </row>
    <row r="216" customFormat="false" ht="16.4" hidden="false" customHeight="false" outlineLevel="0" collapsed="false">
      <c r="A216" s="109" t="n">
        <v>46661</v>
      </c>
      <c r="C216" s="54" t="n">
        <f aca="false">Прогноз!E72</f>
        <v>100.45</v>
      </c>
      <c r="D216" s="112" t="n">
        <f aca="false">C216*D215/100</f>
        <v>357.899880606601</v>
      </c>
      <c r="E216" s="14" t="n">
        <f aca="false">Прогноз!F72</f>
        <v>104.8</v>
      </c>
      <c r="F216" s="120" t="n">
        <v>348.475167438042</v>
      </c>
      <c r="G216" s="4" t="n">
        <f aca="false">F216/F215*100</f>
        <v>100.142438406562</v>
      </c>
      <c r="H216" s="84" t="n">
        <f aca="false">AVERAGE(G214:G216)^12/100^11-100</f>
        <v>2.89805287212825</v>
      </c>
      <c r="I216" s="4" t="n">
        <f aca="false">AVERAGE(G205:G216)^12/100^11-100</f>
        <v>4.38022124842019</v>
      </c>
      <c r="J216" s="56" t="n">
        <f aca="false">G216</f>
        <v>100.142438406562</v>
      </c>
      <c r="K216" s="84" t="n">
        <f aca="false">AVERAGE(J214:J216)^12/100^11-100</f>
        <v>2.89805287212825</v>
      </c>
    </row>
    <row r="217" customFormat="false" ht="16.4" hidden="false" customHeight="false" outlineLevel="0" collapsed="false">
      <c r="A217" s="109" t="n">
        <v>46692</v>
      </c>
      <c r="C217" s="54" t="n">
        <f aca="false">Прогноз!E73</f>
        <v>100.2</v>
      </c>
      <c r="D217" s="112" t="n">
        <f aca="false">C217*D216/100</f>
        <v>358.615680367814</v>
      </c>
      <c r="E217" s="14" t="n">
        <f aca="false">Прогноз!F73</f>
        <v>104.54</v>
      </c>
      <c r="F217" s="120" t="n">
        <v>348.379244583884</v>
      </c>
      <c r="G217" s="4" t="n">
        <f aca="false">F217/F216*100</f>
        <v>99.9724735467198</v>
      </c>
      <c r="H217" s="84" t="n">
        <f aca="false">AVERAGE(G215:G217)^12/100^11-100</f>
        <v>1.43139528815118</v>
      </c>
      <c r="I217" s="4" t="n">
        <f aca="false">AVERAGE(G206:G217)^12/100^11-100</f>
        <v>4.02740311074962</v>
      </c>
      <c r="J217" s="56" t="n">
        <f aca="false">G217</f>
        <v>99.9724735467198</v>
      </c>
      <c r="K217" s="84" t="n">
        <f aca="false">AVERAGE(J215:J217)^12/100^11-100</f>
        <v>1.43139528815118</v>
      </c>
    </row>
    <row r="218" customFormat="false" ht="16.4" hidden="false" customHeight="false" outlineLevel="0" collapsed="false">
      <c r="A218" s="109" t="n">
        <v>46722</v>
      </c>
      <c r="C218" s="54" t="n">
        <f aca="false">Прогноз!E74</f>
        <v>100</v>
      </c>
      <c r="D218" s="112" t="n">
        <f aca="false">C218*D217/100</f>
        <v>358.615680367814</v>
      </c>
      <c r="E218" s="14" t="n">
        <f aca="false">Прогноз!F74</f>
        <v>104.02</v>
      </c>
      <c r="F218" s="120" t="n">
        <v>349.661044441597</v>
      </c>
      <c r="G218" s="4" t="n">
        <f aca="false">F218/F217*100</f>
        <v>100.367932325947</v>
      </c>
      <c r="H218" s="84" t="n">
        <f aca="false">AVERAGE(G216:G218)^12/100^11-100</f>
        <v>1.9485660038582</v>
      </c>
      <c r="I218" s="4" t="n">
        <f aca="false">AVERAGE(G207:G218)^12/100^11-100</f>
        <v>3.91273732954252</v>
      </c>
      <c r="J218" s="56" t="n">
        <f aca="false">G218</f>
        <v>100.367932325947</v>
      </c>
      <c r="K218" s="84" t="n">
        <f aca="false">AVERAGE(J216:J218)^12/100^11-100</f>
        <v>1.9485660038582</v>
      </c>
    </row>
    <row r="219" customFormat="false" ht="14.25" hidden="false" customHeight="false" outlineLevel="0" collapsed="false">
      <c r="C219" s="54"/>
    </row>
  </sheetData>
  <mergeCells count="5">
    <mergeCell ref="Q168:T168"/>
    <mergeCell ref="U168:X168"/>
    <mergeCell ref="Y168:AB168"/>
    <mergeCell ref="AC168:AF168"/>
    <mergeCell ref="AG168:AJ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3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9.09765625" defaultRowHeight="14.25" zeroHeight="false" outlineLevelRow="0" outlineLevelCol="0"/>
  <cols>
    <col collapsed="false" customWidth="false" hidden="false" outlineLevel="0" max="1" min="1" style="121" width="9.09"/>
    <col collapsed="false" customWidth="true" hidden="false" outlineLevel="0" max="2" min="2" style="121" width="97.09"/>
    <col collapsed="false" customWidth="true" hidden="false" outlineLevel="0" max="4" min="3" style="122" width="11.4"/>
    <col collapsed="false" customWidth="true" hidden="false" outlineLevel="0" max="9" min="5" style="122" width="10.1"/>
    <col collapsed="false" customWidth="false" hidden="false" outlineLevel="0" max="10" min="10" style="122" width="9.09"/>
    <col collapsed="false" customWidth="true" hidden="false" outlineLevel="0" max="11" min="11" style="122" width="10.1"/>
    <col collapsed="false" customWidth="false" hidden="false" outlineLevel="0" max="12" min="12" style="122" width="9.09"/>
    <col collapsed="false" customWidth="false" hidden="false" outlineLevel="0" max="16384" min="13" style="121" width="9.09"/>
  </cols>
  <sheetData>
    <row r="33" customFormat="false" ht="14.25" hidden="false" customHeight="false" outlineLevel="0" collapsed="false">
      <c r="C33" s="123"/>
    </row>
    <row r="34" customFormat="false" ht="14.25" hidden="false" customHeight="false" outlineLevel="0" collapsed="false">
      <c r="C34" s="123"/>
    </row>
    <row r="35" customFormat="false" ht="14.25" hidden="false" customHeight="false" outlineLevel="0" collapsed="false">
      <c r="C35" s="123"/>
    </row>
    <row r="36" customFormat="false" ht="14.25" hidden="false" customHeight="false" outlineLevel="0" collapsed="false">
      <c r="C36" s="123"/>
    </row>
    <row r="37" customFormat="false" ht="14.25" hidden="false" customHeight="false" outlineLevel="0" collapsed="false">
      <c r="C37" s="123"/>
    </row>
    <row r="38" customFormat="false" ht="14.25" hidden="false" customHeight="false" outlineLevel="0" collapsed="false">
      <c r="C38" s="123"/>
    </row>
    <row r="39" customFormat="false" ht="14.25" hidden="false" customHeight="false" outlineLevel="0" collapsed="false">
      <c r="C39" s="123"/>
    </row>
    <row r="40" customFormat="false" ht="14.25" hidden="false" customHeight="false" outlineLevel="0" collapsed="false">
      <c r="C40" s="1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.9"/>
    <col collapsed="false" customWidth="true" hidden="false" outlineLevel="0" max="2" min="2" style="0" width="17.39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0" t="s">
        <v>56</v>
      </c>
    </row>
    <row r="3" customFormat="false" ht="14.25" hidden="false" customHeight="false" outlineLevel="0" collapsed="false">
      <c r="A3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29" activeCellId="0" sqref="B2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3.9"/>
  </cols>
  <sheetData>
    <row r="1" customFormat="false" ht="14.25" hidden="false" customHeight="false" outlineLevel="0" collapsed="false">
      <c r="A1" s="124" t="s">
        <v>58</v>
      </c>
    </row>
    <row r="2" customFormat="false" ht="14.25" hidden="false" customHeight="false" outlineLevel="0" collapsed="false">
      <c r="A2" s="0" t="str">
        <f aca="true" t="array" ref="A2:A2">MID(CELL("filename",A1),1,SEARCH("[",CELL("filename",A1))-1)&amp;"IPC.xlsx"</f>
        <v>file:///home/valalav/_projects/sirena-kbr/assets/IPC.xlsx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Q207" activeCellId="0" sqref="Q207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1.29"/>
    <col collapsed="false" customWidth="true" hidden="false" outlineLevel="0" max="2" min="2" style="0" width="6.7"/>
    <col collapsed="false" customWidth="true" hidden="false" outlineLevel="0" max="3" min="3" style="0" width="8.09"/>
    <col collapsed="false" customWidth="true" hidden="false" outlineLevel="0" max="9" min="9" style="0" width="10.9"/>
    <col collapsed="false" customWidth="true" hidden="false" outlineLevel="0" max="10" min="10" style="0" width="6.7"/>
    <col collapsed="false" customWidth="true" hidden="false" outlineLevel="0" max="11" min="11" style="0" width="8.09"/>
    <col collapsed="false" customWidth="true" hidden="false" outlineLevel="0" max="16" min="16" style="0" width="10.9"/>
    <col collapsed="false" customWidth="true" hidden="false" outlineLevel="0" max="19" min="19" style="0" width="11.4"/>
  </cols>
  <sheetData>
    <row r="1" customFormat="false" ht="14.25" hidden="false" customHeight="false" outlineLevel="0" collapsed="false">
      <c r="A1" s="124" t="s">
        <v>59</v>
      </c>
      <c r="B1" s="124" t="s">
        <v>2</v>
      </c>
      <c r="C1" s="124" t="s">
        <v>1</v>
      </c>
      <c r="I1" s="124" t="s">
        <v>59</v>
      </c>
      <c r="J1" s="124" t="s">
        <v>2</v>
      </c>
      <c r="K1" s="124" t="s">
        <v>1</v>
      </c>
      <c r="L1" s="124" t="s">
        <v>60</v>
      </c>
      <c r="P1" s="62" t="s">
        <v>61</v>
      </c>
    </row>
    <row r="2" customFormat="false" ht="14.25" hidden="false" customHeight="false" outlineLevel="0" collapsed="false">
      <c r="A2" s="109" t="n">
        <v>40269</v>
      </c>
      <c r="B2" s="0" t="n">
        <v>8.04</v>
      </c>
      <c r="C2" s="0" t="n">
        <v>0.59</v>
      </c>
      <c r="I2" s="109" t="n">
        <v>40179</v>
      </c>
      <c r="J2" s="0" t="n">
        <v>8.84</v>
      </c>
      <c r="K2" s="0" t="n">
        <v>1.49</v>
      </c>
      <c r="Q2" s="62" t="s">
        <v>62</v>
      </c>
    </row>
    <row r="3" customFormat="false" ht="14.25" hidden="false" customHeight="false" outlineLevel="0" collapsed="false">
      <c r="A3" s="109" t="n">
        <v>40634</v>
      </c>
      <c r="B3" s="0" t="n">
        <v>12.45</v>
      </c>
      <c r="C3" s="0" t="n">
        <v>0.6</v>
      </c>
      <c r="I3" s="109" t="n">
        <v>40210</v>
      </c>
      <c r="J3" s="0" t="n">
        <v>9.21</v>
      </c>
      <c r="K3" s="0" t="n">
        <v>1.2</v>
      </c>
      <c r="P3" s="109" t="n">
        <v>40148</v>
      </c>
      <c r="Q3" s="0" t="n">
        <v>100.243347082</v>
      </c>
    </row>
    <row r="4" customFormat="false" ht="14.25" hidden="false" customHeight="false" outlineLevel="0" collapsed="false">
      <c r="A4" s="109" t="n">
        <v>41000</v>
      </c>
      <c r="B4" s="0" t="n">
        <v>3.89</v>
      </c>
      <c r="C4" s="0" t="n">
        <v>0.42</v>
      </c>
      <c r="I4" s="109" t="n">
        <v>40238</v>
      </c>
      <c r="J4" s="0" t="n">
        <v>8.98</v>
      </c>
      <c r="K4" s="0" t="n">
        <v>0.92</v>
      </c>
      <c r="P4" s="109" t="n">
        <v>40179</v>
      </c>
      <c r="Q4" s="0" t="n">
        <v>101.407499171</v>
      </c>
    </row>
    <row r="5" customFormat="false" ht="14.25" hidden="false" customHeight="false" outlineLevel="0" collapsed="false">
      <c r="A5" s="109" t="n">
        <v>41365</v>
      </c>
      <c r="B5" s="0" t="n">
        <v>9.34</v>
      </c>
      <c r="C5" s="0" t="n">
        <v>1.25</v>
      </c>
      <c r="I5" s="109" t="n">
        <v>40269</v>
      </c>
      <c r="J5" s="0" t="n">
        <v>8.04</v>
      </c>
      <c r="K5" s="0" t="n">
        <v>0.59</v>
      </c>
      <c r="P5" s="109" t="n">
        <v>40210</v>
      </c>
      <c r="Q5" s="0" t="n">
        <v>102.39393709</v>
      </c>
    </row>
    <row r="6" customFormat="false" ht="14.25" hidden="false" customHeight="false" outlineLevel="0" collapsed="false">
      <c r="A6" s="109" t="n">
        <v>41730</v>
      </c>
      <c r="B6" s="0" t="n">
        <v>6.82</v>
      </c>
      <c r="C6" s="0" t="n">
        <v>0.63</v>
      </c>
      <c r="I6" s="109" t="n">
        <v>40299</v>
      </c>
      <c r="J6" s="0" t="n">
        <v>8.11</v>
      </c>
      <c r="K6" s="0" t="n">
        <v>0.64</v>
      </c>
      <c r="P6" s="109" t="n">
        <v>40238</v>
      </c>
      <c r="Q6" s="0" t="n">
        <v>103.156057706</v>
      </c>
    </row>
    <row r="7" customFormat="false" ht="14.25" hidden="false" customHeight="false" outlineLevel="0" collapsed="false">
      <c r="A7" s="109" t="n">
        <v>42095</v>
      </c>
      <c r="B7" s="0" t="n">
        <v>17.22</v>
      </c>
      <c r="C7" s="0" t="n">
        <v>1.24</v>
      </c>
      <c r="I7" s="109" t="n">
        <v>40330</v>
      </c>
      <c r="J7" s="0" t="n">
        <v>7.36</v>
      </c>
      <c r="K7" s="0" t="n">
        <v>0.73</v>
      </c>
      <c r="P7" s="109" t="n">
        <v>40269</v>
      </c>
      <c r="Q7" s="0" t="n">
        <v>103.552630859</v>
      </c>
    </row>
    <row r="8" customFormat="false" ht="14.25" hidden="false" customHeight="false" outlineLevel="0" collapsed="false">
      <c r="A8" s="109" t="n">
        <v>42461</v>
      </c>
      <c r="B8" s="0" t="n">
        <v>7.08</v>
      </c>
      <c r="C8" s="0" t="n">
        <v>1.09</v>
      </c>
      <c r="I8" s="109" t="n">
        <v>40360</v>
      </c>
      <c r="J8" s="0" t="n">
        <v>6.82</v>
      </c>
      <c r="K8" s="0" t="n">
        <v>-0.49</v>
      </c>
      <c r="P8" s="109" t="n">
        <v>40299</v>
      </c>
      <c r="Q8" s="0" t="n">
        <v>104.217082317</v>
      </c>
    </row>
    <row r="9" customFormat="false" ht="14.25" hidden="false" customHeight="false" outlineLevel="0" collapsed="false">
      <c r="A9" s="109" t="n">
        <v>42826</v>
      </c>
      <c r="B9" s="0" t="n">
        <v>5.11</v>
      </c>
      <c r="C9" s="0" t="n">
        <v>0.77</v>
      </c>
      <c r="I9" s="109" t="n">
        <v>40391</v>
      </c>
      <c r="J9" s="0" t="n">
        <v>6.83</v>
      </c>
      <c r="K9" s="0" t="n">
        <v>0.48</v>
      </c>
      <c r="P9" s="109" t="n">
        <v>40330</v>
      </c>
      <c r="Q9" s="0" t="n">
        <v>105.406983096</v>
      </c>
    </row>
    <row r="10" customFormat="false" ht="14.25" hidden="false" customHeight="false" outlineLevel="0" collapsed="false">
      <c r="A10" s="109" t="n">
        <v>43191</v>
      </c>
      <c r="B10" s="0" t="n">
        <v>1.58</v>
      </c>
      <c r="C10" s="0" t="n">
        <v>0.5</v>
      </c>
      <c r="I10" s="109" t="n">
        <v>40422</v>
      </c>
      <c r="J10" s="0" t="n">
        <v>9.12</v>
      </c>
      <c r="K10" s="0" t="n">
        <v>2.29</v>
      </c>
      <c r="P10" s="109" t="n">
        <v>40360</v>
      </c>
      <c r="Q10" s="0" t="n">
        <v>105.230830199</v>
      </c>
    </row>
    <row r="11" customFormat="false" ht="14.25" hidden="false" customHeight="false" outlineLevel="0" collapsed="false">
      <c r="A11" s="109" t="n">
        <v>43556</v>
      </c>
      <c r="B11" s="0" t="n">
        <v>5.65</v>
      </c>
      <c r="C11" s="0" t="n">
        <v>0.59</v>
      </c>
      <c r="I11" s="109" t="n">
        <v>40452</v>
      </c>
      <c r="J11" s="0" t="n">
        <v>9.47</v>
      </c>
      <c r="K11" s="0" t="n">
        <v>0.5</v>
      </c>
      <c r="P11" s="109" t="n">
        <v>40391</v>
      </c>
      <c r="Q11" s="0" t="n">
        <v>106.321491671</v>
      </c>
    </row>
    <row r="12" customFormat="false" ht="14.25" hidden="false" customHeight="false" outlineLevel="0" collapsed="false">
      <c r="A12" s="109" t="n">
        <v>43922</v>
      </c>
      <c r="B12" s="0" t="n">
        <v>3.57</v>
      </c>
      <c r="C12" s="0" t="n">
        <v>1.3</v>
      </c>
      <c r="I12" s="109" t="n">
        <v>40483</v>
      </c>
      <c r="J12" s="0" t="n">
        <v>9.96</v>
      </c>
      <c r="K12" s="0" t="n">
        <v>0.92</v>
      </c>
      <c r="P12" s="109" t="n">
        <v>40422</v>
      </c>
      <c r="Q12" s="0" t="n">
        <v>108.735191675</v>
      </c>
    </row>
    <row r="13" customFormat="false" ht="14.25" hidden="false" customHeight="false" outlineLevel="0" collapsed="false">
      <c r="A13" s="109" t="n">
        <v>44287</v>
      </c>
      <c r="B13" s="0" t="n">
        <v>6.37</v>
      </c>
      <c r="C13" s="0" t="n">
        <v>0.86</v>
      </c>
      <c r="I13" s="109" t="n">
        <v>40513</v>
      </c>
      <c r="J13" s="0" t="n">
        <v>11.36</v>
      </c>
      <c r="K13" s="0" t="n">
        <v>1.57</v>
      </c>
      <c r="P13" s="109" t="n">
        <v>40452</v>
      </c>
      <c r="Q13" s="0" t="n">
        <v>109.258817658</v>
      </c>
    </row>
    <row r="14" customFormat="false" ht="14.25" hidden="false" customHeight="false" outlineLevel="0" collapsed="false">
      <c r="A14" s="109" t="n">
        <v>44652</v>
      </c>
      <c r="B14" s="0" t="n">
        <v>16</v>
      </c>
      <c r="C14" s="0" t="n">
        <v>3.28</v>
      </c>
      <c r="I14" s="109" t="n">
        <v>40544</v>
      </c>
      <c r="J14" s="0" t="n">
        <v>12.36</v>
      </c>
      <c r="K14" s="0" t="n">
        <v>2.4</v>
      </c>
      <c r="P14" s="109" t="n">
        <v>40483</v>
      </c>
      <c r="Q14" s="0" t="n">
        <v>110.183488831</v>
      </c>
    </row>
    <row r="15" customFormat="false" ht="14.25" hidden="false" customHeight="false" outlineLevel="0" collapsed="false">
      <c r="A15" s="109" t="n">
        <v>45017</v>
      </c>
      <c r="B15" s="0" t="n">
        <v>3.51</v>
      </c>
      <c r="C15" s="0" t="n">
        <v>0.72</v>
      </c>
      <c r="I15" s="109" t="n">
        <v>40575</v>
      </c>
      <c r="J15" s="0" t="n">
        <v>12.21</v>
      </c>
      <c r="K15" s="0" t="n">
        <v>1.06</v>
      </c>
      <c r="P15" s="109" t="n">
        <v>40513</v>
      </c>
      <c r="Q15" s="0" t="n">
        <v>111.635983909</v>
      </c>
    </row>
    <row r="16" customFormat="false" ht="14.25" hidden="false" customHeight="false" outlineLevel="0" collapsed="false">
      <c r="A16" s="109" t="n">
        <v>45383</v>
      </c>
      <c r="B16" s="0" t="n">
        <v>6.32</v>
      </c>
      <c r="C16" s="0" t="n">
        <v>0.38</v>
      </c>
      <c r="E16" s="62" t="s">
        <v>63</v>
      </c>
      <c r="I16" s="109" t="n">
        <v>40603</v>
      </c>
      <c r="J16" s="0" t="n">
        <v>12.43</v>
      </c>
      <c r="K16" s="0" t="n">
        <v>1.12</v>
      </c>
      <c r="P16" s="109" t="n">
        <v>40544</v>
      </c>
      <c r="Q16" s="0" t="n">
        <v>113.94880958</v>
      </c>
    </row>
    <row r="17" customFormat="false" ht="14.25" hidden="false" customHeight="false" outlineLevel="0" collapsed="false">
      <c r="E17" s="1" t="n">
        <f aca="false">AVERAGE(Таблица1[MoM])</f>
        <v>0.948</v>
      </c>
      <c r="F17" s="62" t="n">
        <f aca="false">AVERAGEIF(Таблица1[MoM],"&lt;2",Таблица1[MoM])</f>
        <v>0.781428571428571</v>
      </c>
      <c r="I17" s="109" t="n">
        <v>40634</v>
      </c>
      <c r="J17" s="0" t="n">
        <v>12.45</v>
      </c>
      <c r="K17" s="0" t="n">
        <v>0.6</v>
      </c>
      <c r="P17" s="109" t="n">
        <v>40575</v>
      </c>
      <c r="Q17" s="0" t="n">
        <v>114.899095918</v>
      </c>
    </row>
    <row r="18" customFormat="false" ht="14.25" hidden="false" customHeight="false" outlineLevel="0" collapsed="false">
      <c r="I18" s="109" t="n">
        <v>40664</v>
      </c>
      <c r="J18" s="0" t="n">
        <v>12.08</v>
      </c>
      <c r="K18" s="0" t="n">
        <v>0.31</v>
      </c>
      <c r="P18" s="109" t="n">
        <v>40603</v>
      </c>
      <c r="Q18" s="0" t="n">
        <v>115.983618584</v>
      </c>
    </row>
    <row r="19" customFormat="false" ht="14.25" hidden="false" customHeight="false" outlineLevel="0" collapsed="false">
      <c r="I19" s="109" t="n">
        <v>40695</v>
      </c>
      <c r="J19" s="0" t="n">
        <v>10.59</v>
      </c>
      <c r="K19" s="0" t="n">
        <v>-0.61</v>
      </c>
      <c r="P19" s="109" t="n">
        <v>40634</v>
      </c>
      <c r="Q19" s="0" t="n">
        <v>116.437871021</v>
      </c>
    </row>
    <row r="20" customFormat="false" ht="14.25" hidden="false" customHeight="false" outlineLevel="0" collapsed="false">
      <c r="I20" s="109" t="n">
        <v>40725</v>
      </c>
      <c r="J20" s="0" t="n">
        <v>11.1</v>
      </c>
      <c r="K20" s="0" t="n">
        <v>-0.04</v>
      </c>
      <c r="P20" s="109" t="n">
        <v>40664</v>
      </c>
      <c r="Q20" s="0" t="n">
        <v>116.799263045</v>
      </c>
    </row>
    <row r="21" customFormat="false" ht="14.25" hidden="false" customHeight="false" outlineLevel="0" collapsed="false">
      <c r="I21" s="109" t="n">
        <v>40756</v>
      </c>
      <c r="J21" s="0" t="n">
        <v>10.37</v>
      </c>
      <c r="K21" s="0" t="n">
        <v>-0.18</v>
      </c>
      <c r="P21" s="109" t="n">
        <v>40695</v>
      </c>
      <c r="Q21" s="0" t="n">
        <v>116.561543074</v>
      </c>
    </row>
    <row r="22" customFormat="false" ht="14.25" hidden="false" customHeight="false" outlineLevel="0" collapsed="false">
      <c r="I22" s="109" t="n">
        <v>40787</v>
      </c>
      <c r="J22" s="0" t="n">
        <v>8.74</v>
      </c>
      <c r="K22" s="0" t="n">
        <v>0.78</v>
      </c>
      <c r="P22" s="109" t="n">
        <v>40725</v>
      </c>
      <c r="Q22" s="0" t="n">
        <v>116.886226908</v>
      </c>
    </row>
    <row r="23" customFormat="false" ht="14.25" hidden="false" customHeight="false" outlineLevel="0" collapsed="false">
      <c r="I23" s="109" t="n">
        <v>40817</v>
      </c>
      <c r="J23" s="0" t="n">
        <v>8.56</v>
      </c>
      <c r="K23" s="0" t="n">
        <v>0.33</v>
      </c>
      <c r="P23" s="109" t="n">
        <v>40756</v>
      </c>
      <c r="Q23" s="0" t="n">
        <v>117.32210258</v>
      </c>
    </row>
    <row r="24" customFormat="false" ht="14.25" hidden="false" customHeight="false" outlineLevel="0" collapsed="false">
      <c r="I24" s="109" t="n">
        <v>40848</v>
      </c>
      <c r="J24" s="0" t="n">
        <v>8.07</v>
      </c>
      <c r="K24" s="0" t="n">
        <v>0.46</v>
      </c>
      <c r="P24" s="109" t="n">
        <v>40787</v>
      </c>
      <c r="Q24" s="0" t="n">
        <v>118.22217565</v>
      </c>
    </row>
    <row r="25" customFormat="false" ht="14.25" hidden="false" customHeight="false" outlineLevel="0" collapsed="false">
      <c r="I25" s="109" t="n">
        <v>40878</v>
      </c>
      <c r="J25" s="0" t="n">
        <v>6.74</v>
      </c>
      <c r="K25" s="0" t="n">
        <v>0.32</v>
      </c>
      <c r="P25" s="109" t="n">
        <v>40817</v>
      </c>
      <c r="Q25" s="0" t="n">
        <v>118.58726639</v>
      </c>
    </row>
    <row r="26" customFormat="false" ht="14.25" hidden="false" customHeight="false" outlineLevel="0" collapsed="false">
      <c r="I26" s="109" t="n">
        <v>40909</v>
      </c>
      <c r="J26" s="0" t="n">
        <v>4.58</v>
      </c>
      <c r="K26" s="0" t="n">
        <v>0.33</v>
      </c>
      <c r="P26" s="109" t="n">
        <v>40848</v>
      </c>
      <c r="Q26" s="0" t="n">
        <v>119.044445222</v>
      </c>
    </row>
    <row r="27" customFormat="false" ht="14.25" hidden="false" customHeight="false" outlineLevel="0" collapsed="false">
      <c r="I27" s="109" t="n">
        <v>40940</v>
      </c>
      <c r="J27" s="0" t="n">
        <v>4.53</v>
      </c>
      <c r="K27" s="0" t="n">
        <v>1.02</v>
      </c>
      <c r="P27" s="109" t="n">
        <v>40878</v>
      </c>
      <c r="Q27" s="0" t="n">
        <v>119.131947515</v>
      </c>
    </row>
    <row r="28" customFormat="false" ht="14.25" hidden="false" customHeight="false" outlineLevel="0" collapsed="false">
      <c r="I28" s="109" t="n">
        <v>40969</v>
      </c>
      <c r="J28" s="0" t="n">
        <v>4.08</v>
      </c>
      <c r="K28" s="0" t="n">
        <v>0.68</v>
      </c>
      <c r="P28" s="109" t="n">
        <v>40909</v>
      </c>
      <c r="Q28" s="0" t="n">
        <v>119.151981575</v>
      </c>
    </row>
    <row r="29" customFormat="false" ht="14.25" hidden="false" customHeight="false" outlineLevel="0" collapsed="false">
      <c r="I29" s="109" t="n">
        <v>41000</v>
      </c>
      <c r="J29" s="0" t="n">
        <v>3.89</v>
      </c>
      <c r="K29" s="0" t="n">
        <v>0.42</v>
      </c>
      <c r="P29" s="109" t="n">
        <v>40940</v>
      </c>
      <c r="Q29" s="0" t="n">
        <v>120.100583717</v>
      </c>
    </row>
    <row r="30" customFormat="false" ht="14.25" hidden="false" customHeight="false" outlineLevel="0" collapsed="false">
      <c r="I30" s="109" t="n">
        <v>41030</v>
      </c>
      <c r="J30" s="0" t="n">
        <v>4.93</v>
      </c>
      <c r="K30" s="0" t="n">
        <v>1.32</v>
      </c>
      <c r="P30" s="109" t="n">
        <v>40969</v>
      </c>
      <c r="Q30" s="0" t="n">
        <v>120.707360733</v>
      </c>
    </row>
    <row r="31" customFormat="false" ht="14.25" hidden="false" customHeight="false" outlineLevel="0" collapsed="false">
      <c r="I31" s="109" t="n">
        <v>41061</v>
      </c>
      <c r="J31" s="0" t="n">
        <v>6.15</v>
      </c>
      <c r="K31" s="0" t="n">
        <v>0.55</v>
      </c>
      <c r="P31" s="109" t="n">
        <v>41000</v>
      </c>
      <c r="Q31" s="0" t="n">
        <v>120.957664947</v>
      </c>
    </row>
    <row r="32" customFormat="false" ht="14.25" hidden="false" customHeight="false" outlineLevel="0" collapsed="false">
      <c r="I32" s="109" t="n">
        <v>41091</v>
      </c>
      <c r="J32" s="0" t="n">
        <v>7.9</v>
      </c>
      <c r="K32" s="0" t="n">
        <v>1.61</v>
      </c>
      <c r="P32" s="109" t="n">
        <v>41030</v>
      </c>
      <c r="Q32" s="0" t="n">
        <v>122.551685694</v>
      </c>
    </row>
    <row r="33" customFormat="false" ht="14.25" hidden="false" customHeight="false" outlineLevel="0" collapsed="false">
      <c r="I33" s="109" t="n">
        <v>41122</v>
      </c>
      <c r="J33" s="0" t="n">
        <v>8.18</v>
      </c>
      <c r="K33" s="0" t="n">
        <v>0.08</v>
      </c>
      <c r="P33" s="109" t="n">
        <v>41061</v>
      </c>
      <c r="Q33" s="0" t="n">
        <v>123.726150011</v>
      </c>
    </row>
    <row r="34" customFormat="false" ht="14.25" hidden="false" customHeight="false" outlineLevel="0" collapsed="false">
      <c r="I34" s="109" t="n">
        <v>41153</v>
      </c>
      <c r="J34" s="0" t="n">
        <v>7.79</v>
      </c>
      <c r="K34" s="0" t="n">
        <v>0.42</v>
      </c>
      <c r="P34" s="109" t="n">
        <v>41091</v>
      </c>
      <c r="Q34" s="0" t="n">
        <v>126.109907955</v>
      </c>
    </row>
    <row r="35" customFormat="false" ht="14.25" hidden="false" customHeight="false" outlineLevel="0" collapsed="false">
      <c r="I35" s="109" t="n">
        <v>41183</v>
      </c>
      <c r="J35" s="0" t="n">
        <v>7.93</v>
      </c>
      <c r="K35" s="0" t="n">
        <v>0.46</v>
      </c>
      <c r="P35" s="109" t="n">
        <v>41122</v>
      </c>
      <c r="Q35" s="0" t="n">
        <v>126.90934691</v>
      </c>
    </row>
    <row r="36" customFormat="false" ht="14.25" hidden="false" customHeight="false" outlineLevel="0" collapsed="false">
      <c r="I36" s="109" t="n">
        <v>41214</v>
      </c>
      <c r="J36" s="0" t="n">
        <v>8.18</v>
      </c>
      <c r="K36" s="0" t="n">
        <v>0.7</v>
      </c>
      <c r="L36" s="1" t="n">
        <f aca="false">AVERAGE(K33:K35)</f>
        <v>0.32</v>
      </c>
      <c r="P36" s="109" t="n">
        <v>41153</v>
      </c>
      <c r="Q36" s="0" t="n">
        <v>127.437573364</v>
      </c>
    </row>
    <row r="37" customFormat="false" ht="14.25" hidden="false" customHeight="false" outlineLevel="0" collapsed="false">
      <c r="I37" s="109" t="n">
        <v>41244</v>
      </c>
      <c r="J37" s="0" t="n">
        <v>8.75</v>
      </c>
      <c r="K37" s="0" t="n">
        <v>0.84</v>
      </c>
      <c r="L37" s="1" t="n">
        <f aca="false">AVERAGE(K34:K36)</f>
        <v>0.526666666666667</v>
      </c>
      <c r="P37" s="109" t="n">
        <v>41183</v>
      </c>
      <c r="Q37" s="0" t="n">
        <v>127.991593842</v>
      </c>
    </row>
    <row r="38" customFormat="false" ht="14.25" hidden="false" customHeight="false" outlineLevel="0" collapsed="false">
      <c r="I38" s="109" t="n">
        <v>41275</v>
      </c>
      <c r="J38" s="0" t="n">
        <v>9.19</v>
      </c>
      <c r="K38" s="0" t="n">
        <v>0.74</v>
      </c>
      <c r="L38" s="1" t="n">
        <f aca="false">AVERAGE(K35:K37)</f>
        <v>0.666666666666667</v>
      </c>
      <c r="P38" s="109" t="n">
        <v>41214</v>
      </c>
      <c r="Q38" s="0" t="n">
        <v>128.790034953</v>
      </c>
    </row>
    <row r="39" customFormat="false" ht="14.25" hidden="false" customHeight="false" outlineLevel="0" collapsed="false">
      <c r="I39" s="109" t="n">
        <v>41306</v>
      </c>
      <c r="J39" s="0" t="n">
        <v>8.64</v>
      </c>
      <c r="K39" s="0" t="n">
        <v>0.51</v>
      </c>
      <c r="L39" s="1" t="n">
        <f aca="false">AVERAGE(K36:K38)</f>
        <v>0.76</v>
      </c>
      <c r="P39" s="109" t="n">
        <v>41244</v>
      </c>
      <c r="Q39" s="0" t="n">
        <v>129.553196119</v>
      </c>
    </row>
    <row r="40" customFormat="false" ht="14.25" hidden="false" customHeight="false" outlineLevel="0" collapsed="false">
      <c r="I40" s="109" t="n">
        <v>41334</v>
      </c>
      <c r="J40" s="0" t="n">
        <v>8.45</v>
      </c>
      <c r="K40" s="0" t="n">
        <v>0.5</v>
      </c>
      <c r="L40" s="1" t="n">
        <f aca="false">AVERAGE(K37:K39)</f>
        <v>0.696666666666667</v>
      </c>
      <c r="P40" s="109" t="n">
        <v>41275</v>
      </c>
      <c r="Q40" s="0" t="n">
        <v>130.114029382</v>
      </c>
    </row>
    <row r="41" customFormat="false" ht="14.25" hidden="false" customHeight="false" outlineLevel="0" collapsed="false">
      <c r="I41" s="109" t="n">
        <v>41365</v>
      </c>
      <c r="J41" s="0" t="n">
        <v>9.34</v>
      </c>
      <c r="K41" s="0" t="n">
        <v>1.25</v>
      </c>
      <c r="L41" s="1" t="n">
        <f aca="false">AVERAGE(K38:K40)</f>
        <v>0.583333333333333</v>
      </c>
      <c r="P41" s="109" t="n">
        <v>41306</v>
      </c>
      <c r="Q41" s="0" t="n">
        <v>130.491220417</v>
      </c>
    </row>
    <row r="42" customFormat="false" ht="14.25" hidden="false" customHeight="false" outlineLevel="0" collapsed="false">
      <c r="I42" s="109" t="n">
        <v>41395</v>
      </c>
      <c r="J42" s="0" t="n">
        <v>9.47</v>
      </c>
      <c r="K42" s="0" t="n">
        <v>1.44</v>
      </c>
      <c r="L42" s="1" t="n">
        <f aca="false">AVERAGE(K39:K41)</f>
        <v>0.753333333333333</v>
      </c>
      <c r="P42" s="109" t="n">
        <v>41334</v>
      </c>
      <c r="Q42" s="0" t="n">
        <v>130.916445769</v>
      </c>
    </row>
    <row r="43" customFormat="false" ht="14.25" hidden="false" customHeight="false" outlineLevel="0" collapsed="false">
      <c r="I43" s="109" t="n">
        <v>41426</v>
      </c>
      <c r="J43" s="0" t="n">
        <v>8.97</v>
      </c>
      <c r="K43" s="0" t="n">
        <v>0.09</v>
      </c>
      <c r="L43" s="1" t="n">
        <f aca="false">AVERAGE(K40:K42)</f>
        <v>1.06333333333333</v>
      </c>
      <c r="P43" s="109" t="n">
        <v>41365</v>
      </c>
      <c r="Q43" s="0" t="n">
        <v>132.264160581</v>
      </c>
    </row>
    <row r="44" customFormat="false" ht="14.25" hidden="false" customHeight="false" outlineLevel="0" collapsed="false">
      <c r="I44" s="109" t="n">
        <v>41456</v>
      </c>
      <c r="J44" s="0" t="n">
        <v>7.87</v>
      </c>
      <c r="K44" s="0" t="n">
        <v>0.58</v>
      </c>
      <c r="L44" s="1" t="n">
        <f aca="false">AVERAGE(K41:K43)</f>
        <v>0.926666666666667</v>
      </c>
      <c r="P44" s="109" t="n">
        <v>41395</v>
      </c>
      <c r="Q44" s="0" t="n">
        <v>134.166969813</v>
      </c>
    </row>
    <row r="45" customFormat="false" ht="14.25" hidden="false" customHeight="false" outlineLevel="0" collapsed="false">
      <c r="I45" s="109" t="n">
        <v>41487</v>
      </c>
      <c r="J45" s="0" t="n">
        <v>7.38</v>
      </c>
      <c r="K45" s="0" t="n">
        <v>-0.38</v>
      </c>
      <c r="L45" s="1" t="n">
        <f aca="false">AVERAGE(K42:K44)</f>
        <v>0.703333333333333</v>
      </c>
      <c r="P45" s="109" t="n">
        <v>41426</v>
      </c>
      <c r="Q45" s="0" t="n">
        <v>134.830805296</v>
      </c>
    </row>
    <row r="46" customFormat="false" ht="14.25" hidden="false" customHeight="false" outlineLevel="0" collapsed="false">
      <c r="I46" s="109" t="n">
        <v>41518</v>
      </c>
      <c r="J46" s="0" t="n">
        <v>7.11</v>
      </c>
      <c r="K46" s="0" t="n">
        <v>0.17</v>
      </c>
      <c r="L46" s="1" t="n">
        <f aca="false">AVERAGE(K43:K45)</f>
        <v>0.0966666666666666</v>
      </c>
      <c r="P46" s="109" t="n">
        <v>41456</v>
      </c>
      <c r="Q46" s="0" t="n">
        <v>136.033381592</v>
      </c>
    </row>
    <row r="47" customFormat="false" ht="14.25" hidden="false" customHeight="false" outlineLevel="0" collapsed="false">
      <c r="I47" s="109" t="n">
        <v>41548</v>
      </c>
      <c r="J47" s="0" t="n">
        <v>7.71</v>
      </c>
      <c r="K47" s="0" t="n">
        <v>1.03</v>
      </c>
      <c r="L47" s="1" t="n">
        <f aca="false">AVERAGE(K44:K46)</f>
        <v>0.123333333333333</v>
      </c>
      <c r="P47" s="109" t="n">
        <v>41487</v>
      </c>
      <c r="Q47" s="0" t="n">
        <v>136.265402393</v>
      </c>
    </row>
    <row r="48" customFormat="false" ht="14.25" hidden="false" customHeight="false" outlineLevel="0" collapsed="false">
      <c r="I48" s="109" t="n">
        <v>41579</v>
      </c>
      <c r="J48" s="0" t="n">
        <v>7.64</v>
      </c>
      <c r="K48" s="0" t="n">
        <v>0.63</v>
      </c>
      <c r="L48" s="1" t="n">
        <f aca="false">AVERAGE(K45:K47)</f>
        <v>0.273333333333333</v>
      </c>
      <c r="P48" s="109" t="n">
        <v>41518</v>
      </c>
      <c r="Q48" s="0" t="n">
        <v>136.50199075</v>
      </c>
    </row>
    <row r="49" customFormat="false" ht="14.25" hidden="false" customHeight="false" outlineLevel="0" collapsed="false">
      <c r="I49" s="109" t="n">
        <v>41609</v>
      </c>
      <c r="J49" s="0" t="n">
        <v>7.49</v>
      </c>
      <c r="K49" s="0" t="n">
        <v>0.7</v>
      </c>
      <c r="L49" s="1" t="n">
        <f aca="false">AVERAGE(K46:K48)</f>
        <v>0.61</v>
      </c>
      <c r="P49" s="109" t="n">
        <v>41548</v>
      </c>
      <c r="Q49" s="0" t="n">
        <v>137.866268958</v>
      </c>
    </row>
    <row r="50" customFormat="false" ht="14.25" hidden="false" customHeight="false" outlineLevel="0" collapsed="false">
      <c r="I50" s="109" t="n">
        <v>41640</v>
      </c>
      <c r="J50" s="0" t="n">
        <v>6.87</v>
      </c>
      <c r="K50" s="0" t="n">
        <v>0.16</v>
      </c>
      <c r="L50" s="1" t="n">
        <f aca="false">AVERAGE(K47:K49)</f>
        <v>0.786666666666667</v>
      </c>
      <c r="P50" s="109" t="n">
        <v>41579</v>
      </c>
      <c r="Q50" s="0" t="n">
        <v>138.626960885</v>
      </c>
    </row>
    <row r="51" customFormat="false" ht="14.25" hidden="false" customHeight="false" outlineLevel="0" collapsed="false">
      <c r="I51" s="109" t="n">
        <v>41671</v>
      </c>
      <c r="J51" s="0" t="n">
        <v>6.99</v>
      </c>
      <c r="K51" s="0" t="n">
        <v>0.62</v>
      </c>
      <c r="L51" s="1" t="n">
        <f aca="false">AVERAGE(K48:K50)</f>
        <v>0.496666666666667</v>
      </c>
      <c r="P51" s="109" t="n">
        <v>41609</v>
      </c>
      <c r="Q51" s="0" t="n">
        <v>139.254289967</v>
      </c>
    </row>
    <row r="52" customFormat="false" ht="14.25" hidden="false" customHeight="false" outlineLevel="0" collapsed="false">
      <c r="I52" s="109" t="n">
        <v>41699</v>
      </c>
      <c r="J52" s="0" t="n">
        <v>7.48</v>
      </c>
      <c r="K52" s="0" t="n">
        <v>0.96</v>
      </c>
      <c r="L52" s="1" t="n">
        <f aca="false">AVERAGE(K49:K51)</f>
        <v>0.493333333333333</v>
      </c>
      <c r="P52" s="109" t="n">
        <v>41640</v>
      </c>
      <c r="Q52" s="0" t="n">
        <v>139.058976196</v>
      </c>
    </row>
    <row r="53" customFormat="false" ht="14.25" hidden="false" customHeight="false" outlineLevel="0" collapsed="false">
      <c r="I53" s="109" t="n">
        <v>41730</v>
      </c>
      <c r="J53" s="0" t="n">
        <v>6.82</v>
      </c>
      <c r="K53" s="0" t="n">
        <v>0.63</v>
      </c>
      <c r="L53" s="1" t="n">
        <f aca="false">AVERAGE(K50:K52)</f>
        <v>0.58</v>
      </c>
      <c r="P53" s="109" t="n">
        <v>41671</v>
      </c>
      <c r="Q53" s="0" t="n">
        <v>139.616120646</v>
      </c>
    </row>
    <row r="54" customFormat="false" ht="14.25" hidden="false" customHeight="false" outlineLevel="0" collapsed="false">
      <c r="I54" s="109" t="n">
        <v>41760</v>
      </c>
      <c r="J54" s="0" t="n">
        <v>6</v>
      </c>
      <c r="K54" s="0" t="n">
        <v>0.65</v>
      </c>
      <c r="L54" s="1" t="n">
        <f aca="false">AVERAGE(K51:K53)</f>
        <v>0.736666666666667</v>
      </c>
      <c r="P54" s="109" t="n">
        <v>41699</v>
      </c>
      <c r="Q54" s="0" t="n">
        <v>140.710952201</v>
      </c>
    </row>
    <row r="55" customFormat="false" ht="14.25" hidden="false" customHeight="false" outlineLevel="0" collapsed="false">
      <c r="I55" s="109" t="n">
        <v>41791</v>
      </c>
      <c r="J55" s="0" t="n">
        <v>5.92</v>
      </c>
      <c r="K55" s="0" t="n">
        <v>0.01</v>
      </c>
      <c r="L55" s="1" t="n">
        <f aca="false">AVERAGE(K52:K54)</f>
        <v>0.746666666666667</v>
      </c>
      <c r="P55" s="109" t="n">
        <v>41730</v>
      </c>
      <c r="Q55" s="0" t="n">
        <v>141.282098234</v>
      </c>
    </row>
    <row r="56" customFormat="false" ht="14.25" hidden="false" customHeight="false" outlineLevel="0" collapsed="false">
      <c r="I56" s="109" t="n">
        <v>41821</v>
      </c>
      <c r="J56" s="0" t="n">
        <v>5.28</v>
      </c>
      <c r="K56" s="0" t="n">
        <v>-0.02</v>
      </c>
      <c r="L56" s="1" t="n">
        <f aca="false">AVERAGE(K53:K55)</f>
        <v>0.43</v>
      </c>
      <c r="P56" s="109" t="n">
        <v>41760</v>
      </c>
      <c r="Q56" s="0" t="n">
        <v>142.205956204</v>
      </c>
    </row>
    <row r="57" customFormat="false" ht="14.25" hidden="false" customHeight="false" outlineLevel="0" collapsed="false">
      <c r="I57" s="109" t="n">
        <v>41852</v>
      </c>
      <c r="J57" s="0" t="n">
        <v>6.13</v>
      </c>
      <c r="K57" s="0" t="n">
        <v>0.42</v>
      </c>
      <c r="L57" s="1" t="n">
        <f aca="false">AVERAGE(K54:K56)</f>
        <v>0.213333333333333</v>
      </c>
      <c r="P57" s="109" t="n">
        <v>41791</v>
      </c>
      <c r="Q57" s="0" t="n">
        <v>142.792694908</v>
      </c>
    </row>
    <row r="58" customFormat="false" ht="14.25" hidden="false" customHeight="false" outlineLevel="0" collapsed="false">
      <c r="I58" s="109" t="n">
        <v>41883</v>
      </c>
      <c r="J58" s="0" t="n">
        <v>7.23</v>
      </c>
      <c r="K58" s="0" t="n">
        <v>1.22</v>
      </c>
      <c r="L58" s="1" t="n">
        <f aca="false">AVERAGE(K55:K57)</f>
        <v>0.136666666666667</v>
      </c>
      <c r="P58" s="109" t="n">
        <v>41821</v>
      </c>
      <c r="Q58" s="0" t="n">
        <v>143.207508736</v>
      </c>
    </row>
    <row r="59" customFormat="false" ht="14.25" hidden="false" customHeight="false" outlineLevel="0" collapsed="false">
      <c r="I59" s="109" t="n">
        <v>41913</v>
      </c>
      <c r="J59" s="0" t="n">
        <v>6.78</v>
      </c>
      <c r="K59" s="0" t="n">
        <v>0.6</v>
      </c>
      <c r="L59" s="1" t="n">
        <f aca="false">AVERAGE(K56:K58)</f>
        <v>0.54</v>
      </c>
      <c r="P59" s="109" t="n">
        <v>41852</v>
      </c>
      <c r="Q59" s="0" t="n">
        <v>144.600199487</v>
      </c>
    </row>
    <row r="60" customFormat="false" ht="14.25" hidden="false" customHeight="false" outlineLevel="0" collapsed="false">
      <c r="I60" s="109" t="n">
        <v>41944</v>
      </c>
      <c r="J60" s="0" t="n">
        <v>7.15</v>
      </c>
      <c r="K60" s="0" t="n">
        <v>0.98</v>
      </c>
      <c r="L60" s="1" t="n">
        <f aca="false">AVERAGE(K57:K59)</f>
        <v>0.746666666666667</v>
      </c>
      <c r="P60" s="109" t="n">
        <v>41883</v>
      </c>
      <c r="Q60" s="0" t="n">
        <v>146.378754891</v>
      </c>
    </row>
    <row r="61" customFormat="false" ht="14.25" hidden="false" customHeight="false" outlineLevel="0" collapsed="false">
      <c r="I61" s="109" t="n">
        <v>41974</v>
      </c>
      <c r="J61" s="0" t="n">
        <v>8.46</v>
      </c>
      <c r="K61" s="0" t="n">
        <v>1.94</v>
      </c>
      <c r="L61" s="54" t="n">
        <f aca="false">AVERAGE(K58:K60)</f>
        <v>0.933333333333333</v>
      </c>
      <c r="P61" s="109" t="n">
        <v>41913</v>
      </c>
      <c r="Q61" s="0" t="n">
        <v>147.207251513</v>
      </c>
    </row>
    <row r="62" customFormat="false" ht="14.25" hidden="false" customHeight="false" outlineLevel="0" collapsed="false">
      <c r="I62" s="109" t="n">
        <v>42005</v>
      </c>
      <c r="J62" s="0" t="n">
        <v>12.74</v>
      </c>
      <c r="K62" s="0" t="n">
        <v>4.11</v>
      </c>
      <c r="L62" s="54" t="n">
        <f aca="false">AVERAGE(K59:K61)</f>
        <v>1.17333333333333</v>
      </c>
      <c r="P62" s="109" t="n">
        <v>41944</v>
      </c>
      <c r="Q62" s="0" t="n">
        <v>148.531907079</v>
      </c>
    </row>
    <row r="63" customFormat="false" ht="14.25" hidden="false" customHeight="false" outlineLevel="0" collapsed="false">
      <c r="I63" s="109" t="n">
        <v>42036</v>
      </c>
      <c r="J63" s="0" t="n">
        <v>15.41</v>
      </c>
      <c r="K63" s="0" t="n">
        <v>3.01</v>
      </c>
      <c r="L63" s="54" t="n">
        <f aca="false">AVERAGE(K60:K62)</f>
        <v>2.34333333333333</v>
      </c>
      <c r="P63" s="109" t="n">
        <v>41974</v>
      </c>
      <c r="Q63" s="0" t="n">
        <v>151.040978838</v>
      </c>
    </row>
    <row r="64" customFormat="false" ht="14.25" hidden="false" customHeight="false" outlineLevel="0" collapsed="false">
      <c r="I64" s="109" t="n">
        <v>42064</v>
      </c>
      <c r="J64" s="0" t="n">
        <v>16.51</v>
      </c>
      <c r="K64" s="0" t="n">
        <v>1.92</v>
      </c>
      <c r="L64" s="54" t="n">
        <f aca="false">AVERAGE(K61:K63)</f>
        <v>3.02</v>
      </c>
      <c r="P64" s="109" t="n">
        <v>42005</v>
      </c>
      <c r="Q64" s="0" t="n">
        <v>156.780560973</v>
      </c>
    </row>
    <row r="65" customFormat="false" ht="14.25" hidden="false" customHeight="false" outlineLevel="0" collapsed="false">
      <c r="I65" s="109" t="n">
        <v>42095</v>
      </c>
      <c r="J65" s="0" t="n">
        <v>17.22</v>
      </c>
      <c r="K65" s="0" t="n">
        <v>1.24</v>
      </c>
      <c r="L65" s="54" t="n">
        <f aca="false">AVERAGE(K62:K64)</f>
        <v>3.01333333333333</v>
      </c>
      <c r="P65" s="109" t="n">
        <v>42036</v>
      </c>
      <c r="Q65" s="0" t="n">
        <v>161.147616666</v>
      </c>
    </row>
    <row r="66" customFormat="false" ht="14.25" hidden="false" customHeight="false" outlineLevel="0" collapsed="false">
      <c r="I66" s="109" t="n">
        <v>42125</v>
      </c>
      <c r="J66" s="0" t="n">
        <v>16.89</v>
      </c>
      <c r="K66" s="0" t="n">
        <v>0.37</v>
      </c>
      <c r="L66" s="54" t="n">
        <f aca="false">AVERAGE(K63:K65)</f>
        <v>2.05666666666667</v>
      </c>
      <c r="P66" s="109" t="n">
        <v>42064</v>
      </c>
      <c r="Q66" s="0" t="n">
        <v>163.956364847</v>
      </c>
    </row>
    <row r="67" customFormat="false" ht="14.25" hidden="false" customHeight="false" outlineLevel="0" collapsed="false">
      <c r="I67" s="109" t="n">
        <v>42156</v>
      </c>
      <c r="J67" s="0" t="n">
        <v>16.55</v>
      </c>
      <c r="K67" s="0" t="n">
        <v>-0.28</v>
      </c>
      <c r="L67" s="54" t="n">
        <f aca="false">AVERAGE(K64:K66)</f>
        <v>1.17666666666667</v>
      </c>
      <c r="P67" s="109" t="n">
        <v>42095</v>
      </c>
      <c r="Q67" s="0" t="n">
        <v>165.611045636</v>
      </c>
    </row>
    <row r="68" customFormat="false" ht="14.25" hidden="false" customHeight="false" outlineLevel="0" collapsed="false">
      <c r="I68" s="109" t="n">
        <v>42186</v>
      </c>
      <c r="J68" s="0" t="n">
        <v>16.96</v>
      </c>
      <c r="K68" s="0" t="n">
        <v>0.33</v>
      </c>
      <c r="L68" s="54" t="n">
        <f aca="false">AVERAGE(K65:K67)</f>
        <v>0.443333333333333</v>
      </c>
      <c r="P68" s="109" t="n">
        <v>42125</v>
      </c>
      <c r="Q68" s="0" t="n">
        <v>166.239548636</v>
      </c>
    </row>
    <row r="69" customFormat="false" ht="14.25" hidden="false" customHeight="false" outlineLevel="0" collapsed="false">
      <c r="I69" s="109" t="n">
        <v>42217</v>
      </c>
      <c r="J69" s="0" t="n">
        <v>16.99</v>
      </c>
      <c r="K69" s="0" t="n">
        <v>0.44</v>
      </c>
      <c r="L69" s="54" t="n">
        <f aca="false">AVERAGE(K66:K68)</f>
        <v>0.14</v>
      </c>
      <c r="P69" s="109" t="n">
        <v>42156</v>
      </c>
      <c r="Q69" s="0" t="n">
        <v>166.434812079</v>
      </c>
    </row>
    <row r="70" customFormat="false" ht="14.25" hidden="false" customHeight="false" outlineLevel="0" collapsed="false">
      <c r="I70" s="109" t="n">
        <v>42248</v>
      </c>
      <c r="J70" s="0" t="n">
        <v>16.74</v>
      </c>
      <c r="K70" s="0" t="n">
        <v>1</v>
      </c>
      <c r="L70" s="54" t="n">
        <f aca="false">AVERAGE(K67:K69)</f>
        <v>0.163333333333333</v>
      </c>
      <c r="P70" s="109" t="n">
        <v>42186</v>
      </c>
      <c r="Q70" s="0" t="n">
        <v>167.500825857</v>
      </c>
    </row>
    <row r="71" customFormat="false" ht="14.25" hidden="false" customHeight="false" outlineLevel="0" collapsed="false">
      <c r="I71" s="109" t="n">
        <v>42278</v>
      </c>
      <c r="J71" s="0" t="n">
        <v>17.57</v>
      </c>
      <c r="K71" s="0" t="n">
        <v>1.31</v>
      </c>
      <c r="L71" s="54" t="n">
        <f aca="false">AVERAGE(K68:K70)</f>
        <v>0.59</v>
      </c>
      <c r="P71" s="109" t="n">
        <v>42217</v>
      </c>
      <c r="Q71" s="0" t="n">
        <v>169.160534661</v>
      </c>
    </row>
    <row r="72" customFormat="false" ht="14.25" hidden="false" customHeight="false" outlineLevel="0" collapsed="false">
      <c r="I72" s="109" t="n">
        <v>42309</v>
      </c>
      <c r="J72" s="0" t="n">
        <v>16.81</v>
      </c>
      <c r="K72" s="0" t="n">
        <v>0.32</v>
      </c>
      <c r="L72" s="54" t="n">
        <f aca="false">AVERAGE(K69:K71)</f>
        <v>0.916666666666667</v>
      </c>
      <c r="P72" s="109" t="n">
        <v>42248</v>
      </c>
      <c r="Q72" s="0" t="n">
        <v>170.882112028</v>
      </c>
    </row>
    <row r="73" customFormat="false" ht="14.25" hidden="false" customHeight="false" outlineLevel="0" collapsed="false">
      <c r="I73" s="109" t="n">
        <v>42339</v>
      </c>
      <c r="J73" s="0" t="n">
        <v>15.3</v>
      </c>
      <c r="K73" s="0" t="n">
        <v>0.62</v>
      </c>
      <c r="L73" s="54" t="n">
        <f aca="false">AVERAGE(K70:K72)</f>
        <v>0.876666666666667</v>
      </c>
      <c r="P73" s="109" t="n">
        <v>42278</v>
      </c>
      <c r="Q73" s="0" t="n">
        <v>173.055747995</v>
      </c>
    </row>
    <row r="74" customFormat="false" ht="14.25" hidden="false" customHeight="false" outlineLevel="0" collapsed="false">
      <c r="I74" s="109" t="n">
        <v>42370</v>
      </c>
      <c r="J74" s="0" t="n">
        <v>11.62</v>
      </c>
      <c r="K74" s="0" t="n">
        <v>0.79</v>
      </c>
      <c r="L74" s="54" t="n">
        <f aca="false">AVERAGE(K71:K73)</f>
        <v>0.75</v>
      </c>
      <c r="P74" s="109" t="n">
        <v>42309</v>
      </c>
      <c r="Q74" s="0" t="n">
        <v>173.46819951</v>
      </c>
    </row>
    <row r="75" customFormat="false" ht="14.25" hidden="false" customHeight="false" outlineLevel="0" collapsed="false">
      <c r="I75" s="109" t="n">
        <v>42401</v>
      </c>
      <c r="J75" s="0" t="n">
        <v>9.03</v>
      </c>
      <c r="K75" s="0" t="n">
        <v>0.62</v>
      </c>
      <c r="L75" s="54" t="n">
        <f aca="false">AVERAGE(K72:K74)</f>
        <v>0.576666666666667</v>
      </c>
      <c r="P75" s="109" t="n">
        <v>42339</v>
      </c>
      <c r="Q75" s="0" t="n">
        <v>174.119567114</v>
      </c>
    </row>
    <row r="76" customFormat="false" ht="14.25" hidden="false" customHeight="false" outlineLevel="0" collapsed="false">
      <c r="I76" s="109" t="n">
        <v>42430</v>
      </c>
      <c r="J76" s="0" t="n">
        <v>7.24</v>
      </c>
      <c r="K76" s="0" t="n">
        <v>0.25</v>
      </c>
      <c r="L76" s="54" t="n">
        <f aca="false">AVERAGE(K73:K75)</f>
        <v>0.676666666666667</v>
      </c>
      <c r="P76" s="109" t="n">
        <v>42370</v>
      </c>
      <c r="Q76" s="0" t="n">
        <v>174.975479389</v>
      </c>
    </row>
    <row r="77" customFormat="false" ht="14.25" hidden="false" customHeight="false" outlineLevel="0" collapsed="false">
      <c r="I77" s="109" t="n">
        <v>42461</v>
      </c>
      <c r="J77" s="0" t="n">
        <v>7.08</v>
      </c>
      <c r="K77" s="0" t="n">
        <v>1.09</v>
      </c>
      <c r="L77" s="54" t="n">
        <f aca="false">AVERAGE(K74:K76)</f>
        <v>0.553333333333333</v>
      </c>
      <c r="P77" s="109" t="n">
        <v>42401</v>
      </c>
      <c r="Q77" s="0" t="n">
        <v>175.676996901</v>
      </c>
    </row>
    <row r="78" customFormat="false" ht="14.25" hidden="false" customHeight="false" outlineLevel="0" collapsed="false">
      <c r="I78" s="109" t="n">
        <v>42491</v>
      </c>
      <c r="J78" s="0" t="n">
        <v>6.91</v>
      </c>
      <c r="K78" s="0" t="n">
        <v>0.21</v>
      </c>
      <c r="L78" s="54" t="n">
        <f aca="false">AVERAGE(K75:K77)</f>
        <v>0.653333333333333</v>
      </c>
      <c r="P78" s="109" t="n">
        <v>42430</v>
      </c>
      <c r="Q78" s="0" t="n">
        <v>175.816679643</v>
      </c>
    </row>
    <row r="79" customFormat="false" ht="14.25" hidden="false" customHeight="false" outlineLevel="0" collapsed="false">
      <c r="I79" s="109" t="n">
        <v>42522</v>
      </c>
      <c r="J79" s="0" t="n">
        <v>7.47</v>
      </c>
      <c r="K79" s="0" t="n">
        <v>0.24</v>
      </c>
      <c r="L79" s="54" t="n">
        <f aca="false">AVERAGE(K76:K78)</f>
        <v>0.516666666666667</v>
      </c>
      <c r="P79" s="109" t="n">
        <v>42461</v>
      </c>
      <c r="Q79" s="0" t="n">
        <v>177.320070782</v>
      </c>
    </row>
    <row r="80" customFormat="false" ht="14.25" hidden="false" customHeight="false" outlineLevel="0" collapsed="false">
      <c r="I80" s="109" t="n">
        <v>42552</v>
      </c>
      <c r="J80" s="0" t="n">
        <v>7.77</v>
      </c>
      <c r="K80" s="0" t="n">
        <v>0.61</v>
      </c>
      <c r="L80" s="54" t="n">
        <f aca="false">AVERAGE(K77:K79)</f>
        <v>0.513333333333333</v>
      </c>
      <c r="P80" s="109" t="n">
        <v>42491</v>
      </c>
      <c r="Q80" s="0" t="n">
        <v>177.714318289</v>
      </c>
    </row>
    <row r="81" customFormat="false" ht="14.25" hidden="false" customHeight="false" outlineLevel="0" collapsed="false">
      <c r="I81" s="109" t="n">
        <v>42583</v>
      </c>
      <c r="J81" s="0" t="n">
        <v>7.39</v>
      </c>
      <c r="K81" s="0" t="n">
        <v>0.09</v>
      </c>
      <c r="L81" s="54" t="n">
        <f aca="false">AVERAGE(K78:K80)</f>
        <v>0.353333333333333</v>
      </c>
      <c r="P81" s="109" t="n">
        <v>42522</v>
      </c>
      <c r="Q81" s="0" t="n">
        <v>178.837674965</v>
      </c>
    </row>
    <row r="82" customFormat="false" ht="14.25" hidden="false" customHeight="false" outlineLevel="0" collapsed="false">
      <c r="I82" s="109" t="n">
        <v>42614</v>
      </c>
      <c r="J82" s="0" t="n">
        <v>6.18</v>
      </c>
      <c r="K82" s="0" t="n">
        <v>-0.13</v>
      </c>
      <c r="L82" s="54" t="n">
        <f aca="false">AVERAGE(K79:K81)</f>
        <v>0.313333333333333</v>
      </c>
      <c r="P82" s="109" t="n">
        <v>42552</v>
      </c>
      <c r="Q82" s="0" t="n">
        <v>180.481688118</v>
      </c>
    </row>
    <row r="83" customFormat="false" ht="14.25" hidden="false" customHeight="false" outlineLevel="0" collapsed="false">
      <c r="I83" s="109" t="n">
        <v>42644</v>
      </c>
      <c r="J83" s="0" t="n">
        <v>5.43</v>
      </c>
      <c r="K83" s="0" t="n">
        <v>0.6</v>
      </c>
      <c r="L83" s="54" t="n">
        <f aca="false">AVERAGE(K80:K82)</f>
        <v>0.19</v>
      </c>
      <c r="P83" s="109" t="n">
        <v>42583</v>
      </c>
      <c r="Q83" s="0" t="n">
        <v>181.634164049</v>
      </c>
    </row>
    <row r="84" customFormat="false" ht="14.25" hidden="false" customHeight="false" outlineLevel="0" collapsed="false">
      <c r="I84" s="109" t="n">
        <v>42675</v>
      </c>
      <c r="J84" s="0" t="n">
        <v>5.39</v>
      </c>
      <c r="K84" s="0" t="n">
        <v>0.29</v>
      </c>
      <c r="L84" s="54" t="n">
        <f aca="false">AVERAGE(K81:K83)</f>
        <v>0.186666666666667</v>
      </c>
      <c r="P84" s="109" t="n">
        <v>42614</v>
      </c>
      <c r="Q84" s="0" t="n">
        <v>181.446357649</v>
      </c>
    </row>
    <row r="85" customFormat="false" ht="14.25" hidden="false" customHeight="false" outlineLevel="0" collapsed="false">
      <c r="I85" s="109" t="n">
        <v>42705</v>
      </c>
      <c r="J85" s="0" t="n">
        <v>6.13</v>
      </c>
      <c r="K85" s="0" t="n">
        <v>1.33</v>
      </c>
      <c r="L85" s="54" t="n">
        <f aca="false">AVERAGE(K82:K84)</f>
        <v>0.253333333333333</v>
      </c>
      <c r="P85" s="109" t="n">
        <v>42644</v>
      </c>
      <c r="Q85" s="0" t="n">
        <v>182.464255273</v>
      </c>
    </row>
    <row r="86" customFormat="false" ht="14.25" hidden="false" customHeight="false" outlineLevel="0" collapsed="false">
      <c r="I86" s="109" t="n">
        <v>42736</v>
      </c>
      <c r="J86" s="0" t="n">
        <v>5.79</v>
      </c>
      <c r="K86" s="0" t="n">
        <v>0.47</v>
      </c>
      <c r="L86" s="54" t="n">
        <f aca="false">AVERAGE(K83:K85)</f>
        <v>0.74</v>
      </c>
      <c r="P86" s="109" t="n">
        <v>42675</v>
      </c>
      <c r="Q86" s="0" t="n">
        <v>182.836955394</v>
      </c>
    </row>
    <row r="87" customFormat="false" ht="14.25" hidden="false" customHeight="false" outlineLevel="0" collapsed="false">
      <c r="I87" s="109" t="n">
        <v>42767</v>
      </c>
      <c r="J87" s="0" t="n">
        <v>5.49</v>
      </c>
      <c r="K87" s="0" t="n">
        <v>0.33</v>
      </c>
      <c r="L87" s="54" t="n">
        <f aca="false">AVERAGE(K84:K86)</f>
        <v>0.696666666666667</v>
      </c>
      <c r="P87" s="109" t="n">
        <v>42705</v>
      </c>
      <c r="Q87" s="0" t="n">
        <v>184.824363175</v>
      </c>
    </row>
    <row r="88" customFormat="false" ht="14.25" hidden="false" customHeight="false" outlineLevel="0" collapsed="false">
      <c r="I88" s="109" t="n">
        <v>42795</v>
      </c>
      <c r="J88" s="0" t="n">
        <v>5.44</v>
      </c>
      <c r="K88" s="0" t="n">
        <v>0.2</v>
      </c>
      <c r="L88" s="54" t="n">
        <f aca="false">AVERAGE(K85:K87)</f>
        <v>0.71</v>
      </c>
      <c r="P88" s="109" t="n">
        <v>42736</v>
      </c>
      <c r="Q88" s="0" t="n">
        <v>185.144803593</v>
      </c>
    </row>
    <row r="89" customFormat="false" ht="14.25" hidden="false" customHeight="false" outlineLevel="0" collapsed="false">
      <c r="I89" s="109" t="n">
        <v>42826</v>
      </c>
      <c r="J89" s="0" t="n">
        <v>5.11</v>
      </c>
      <c r="K89" s="0" t="n">
        <v>0.77</v>
      </c>
      <c r="L89" s="54" t="n">
        <f aca="false">AVERAGE(K86:K88)</f>
        <v>0.333333333333333</v>
      </c>
      <c r="P89" s="109" t="n">
        <v>42767</v>
      </c>
      <c r="Q89" s="0" t="n">
        <v>185.349952189</v>
      </c>
    </row>
    <row r="90" customFormat="false" ht="14.25" hidden="false" customHeight="false" outlineLevel="0" collapsed="false">
      <c r="I90" s="109" t="n">
        <v>42856</v>
      </c>
      <c r="J90" s="0" t="n">
        <v>5.37</v>
      </c>
      <c r="K90" s="0" t="n">
        <v>0.46</v>
      </c>
      <c r="L90" s="54" t="n">
        <f aca="false">AVERAGE(K87:K89)</f>
        <v>0.433333333333333</v>
      </c>
      <c r="P90" s="109" t="n">
        <v>42795</v>
      </c>
      <c r="Q90" s="0" t="n">
        <v>185.409188189</v>
      </c>
    </row>
    <row r="91" customFormat="false" ht="14.25" hidden="false" customHeight="false" outlineLevel="0" collapsed="false">
      <c r="I91" s="109" t="n">
        <v>42887</v>
      </c>
      <c r="J91" s="0" t="n">
        <v>5.72</v>
      </c>
      <c r="K91" s="0" t="n">
        <v>0.58</v>
      </c>
      <c r="L91" s="54" t="n">
        <f aca="false">AVERAGE(K88:K90)</f>
        <v>0.476666666666667</v>
      </c>
      <c r="P91" s="109" t="n">
        <v>42826</v>
      </c>
      <c r="Q91" s="0" t="n">
        <v>186.397048982</v>
      </c>
    </row>
    <row r="92" customFormat="false" ht="14.25" hidden="false" customHeight="false" outlineLevel="0" collapsed="false">
      <c r="I92" s="109" t="n">
        <v>42917</v>
      </c>
      <c r="J92" s="0" t="n">
        <v>4.58</v>
      </c>
      <c r="K92" s="0" t="n">
        <v>-0.48</v>
      </c>
      <c r="L92" s="54" t="n">
        <f aca="false">AVERAGE(K89:K91)</f>
        <v>0.603333333333333</v>
      </c>
      <c r="P92" s="109" t="n">
        <v>42856</v>
      </c>
      <c r="Q92" s="0" t="n">
        <v>187.280553896</v>
      </c>
    </row>
    <row r="93" customFormat="false" ht="14.25" hidden="false" customHeight="false" outlineLevel="0" collapsed="false">
      <c r="I93" s="109" t="n">
        <v>42948</v>
      </c>
      <c r="J93" s="0" t="n">
        <v>3.96</v>
      </c>
      <c r="K93" s="0" t="n">
        <v>-0.51</v>
      </c>
      <c r="L93" s="54" t="n">
        <f aca="false">AVERAGE(K90:K92)</f>
        <v>0.186666666666667</v>
      </c>
      <c r="P93" s="109" t="n">
        <v>42887</v>
      </c>
      <c r="Q93" s="0" t="n">
        <v>189.0912964</v>
      </c>
    </row>
    <row r="94" customFormat="false" ht="14.25" hidden="false" customHeight="false" outlineLevel="0" collapsed="false">
      <c r="I94" s="109" t="n">
        <v>42979</v>
      </c>
      <c r="J94" s="0" t="n">
        <v>3.95</v>
      </c>
      <c r="K94" s="0" t="n">
        <v>-0.14</v>
      </c>
      <c r="L94" s="54" t="n">
        <f aca="false">AVERAGE(K91:K93)</f>
        <v>-0.136666666666667</v>
      </c>
      <c r="P94" s="109" t="n">
        <v>42917</v>
      </c>
      <c r="Q94" s="0" t="n">
        <v>188.76124529</v>
      </c>
    </row>
    <row r="95" customFormat="false" ht="14.25" hidden="false" customHeight="false" outlineLevel="0" collapsed="false">
      <c r="I95" s="109" t="n">
        <v>43009</v>
      </c>
      <c r="J95" s="0" t="n">
        <v>3.5</v>
      </c>
      <c r="K95" s="0" t="n">
        <v>0.16</v>
      </c>
      <c r="L95" s="54" t="n">
        <f aca="false">AVERAGE(K92:K94)</f>
        <v>-0.376666666666667</v>
      </c>
      <c r="P95" s="109" t="n">
        <v>42948</v>
      </c>
      <c r="Q95" s="0" t="n">
        <v>188.828778782</v>
      </c>
    </row>
    <row r="96" customFormat="false" ht="14.25" hidden="false" customHeight="false" outlineLevel="0" collapsed="false">
      <c r="I96" s="109" t="n">
        <v>43040</v>
      </c>
      <c r="J96" s="0" t="n">
        <v>3.38</v>
      </c>
      <c r="K96" s="0" t="n">
        <v>0.18</v>
      </c>
      <c r="L96" s="54" t="n">
        <f aca="false">AVERAGE(K93:K95)</f>
        <v>-0.163333333333333</v>
      </c>
      <c r="P96" s="109" t="n">
        <v>42979</v>
      </c>
      <c r="Q96" s="0" t="n">
        <v>188.627390095</v>
      </c>
    </row>
    <row r="97" customFormat="false" ht="14.25" hidden="false" customHeight="false" outlineLevel="0" collapsed="false">
      <c r="I97" s="109" t="n">
        <v>43070</v>
      </c>
      <c r="J97" s="0" t="n">
        <v>2.48</v>
      </c>
      <c r="K97" s="0" t="n">
        <v>0.44</v>
      </c>
      <c r="L97" s="54" t="n">
        <f aca="false">AVERAGE(K94:K96)</f>
        <v>0.0666666666666667</v>
      </c>
      <c r="P97" s="109" t="n">
        <v>43009</v>
      </c>
      <c r="Q97" s="0" t="n">
        <v>188.854890502</v>
      </c>
    </row>
    <row r="98" customFormat="false" ht="14.25" hidden="false" customHeight="false" outlineLevel="0" collapsed="false">
      <c r="I98" s="109" t="n">
        <v>43101</v>
      </c>
      <c r="J98" s="0" t="n">
        <v>1.97</v>
      </c>
      <c r="K98" s="0" t="n">
        <v>-0.03</v>
      </c>
      <c r="L98" s="54" t="n">
        <f aca="false">AVERAGE(K95:K97)</f>
        <v>0.26</v>
      </c>
      <c r="P98" s="109" t="n">
        <v>43040</v>
      </c>
      <c r="Q98" s="0" t="n">
        <v>189.023561525</v>
      </c>
    </row>
    <row r="99" customFormat="false" ht="14.25" hidden="false" customHeight="false" outlineLevel="0" collapsed="false">
      <c r="I99" s="109" t="n">
        <v>43132</v>
      </c>
      <c r="J99" s="0" t="n">
        <v>1.98</v>
      </c>
      <c r="K99" s="0" t="n">
        <v>0.34</v>
      </c>
      <c r="L99" s="54" t="n">
        <f aca="false">AVERAGE(K96:K98)</f>
        <v>0.196666666666667</v>
      </c>
      <c r="P99" s="109" t="n">
        <v>43070</v>
      </c>
      <c r="Q99" s="0" t="n">
        <v>189.41126489</v>
      </c>
    </row>
    <row r="100" customFormat="false" ht="14.25" hidden="false" customHeight="false" outlineLevel="0" collapsed="false">
      <c r="I100" s="109" t="n">
        <v>43160</v>
      </c>
      <c r="J100" s="0" t="n">
        <v>1.86</v>
      </c>
      <c r="K100" s="0" t="n">
        <v>0.08</v>
      </c>
      <c r="L100" s="54" t="n">
        <f aca="false">AVERAGE(K97:K99)</f>
        <v>0.25</v>
      </c>
      <c r="P100" s="109" t="n">
        <v>43101</v>
      </c>
      <c r="Q100" s="0" t="n">
        <v>188.795017763</v>
      </c>
    </row>
    <row r="101" customFormat="false" ht="14.25" hidden="false" customHeight="false" outlineLevel="0" collapsed="false">
      <c r="I101" s="109" t="n">
        <v>43191</v>
      </c>
      <c r="J101" s="0" t="n">
        <v>1.58</v>
      </c>
      <c r="K101" s="0" t="n">
        <v>0.5</v>
      </c>
      <c r="L101" s="54" t="n">
        <f aca="false">AVERAGE(K98:K100)</f>
        <v>0.13</v>
      </c>
      <c r="P101" s="109" t="n">
        <v>43132</v>
      </c>
      <c r="Q101" s="0" t="n">
        <v>189.019403631</v>
      </c>
    </row>
    <row r="102" customFormat="false" ht="14.25" hidden="false" customHeight="false" outlineLevel="0" collapsed="false">
      <c r="I102" s="109" t="n">
        <v>43221</v>
      </c>
      <c r="J102" s="0" t="n">
        <v>1.21</v>
      </c>
      <c r="K102" s="0" t="n">
        <v>0.09</v>
      </c>
      <c r="L102" s="54" t="n">
        <f aca="false">AVERAGE(K99:K101)</f>
        <v>0.306666666666667</v>
      </c>
      <c r="P102" s="109" t="n">
        <v>43160</v>
      </c>
      <c r="Q102" s="0" t="n">
        <v>188.85418611</v>
      </c>
    </row>
    <row r="103" customFormat="false" ht="14.25" hidden="false" customHeight="false" outlineLevel="0" collapsed="false">
      <c r="I103" s="109" t="n">
        <v>43252</v>
      </c>
      <c r="J103" s="0" t="n">
        <v>1.27</v>
      </c>
      <c r="K103" s="0" t="n">
        <v>0.64</v>
      </c>
      <c r="L103" s="54" t="n">
        <f aca="false">AVERAGE(K100:K102)</f>
        <v>0.223333333333333</v>
      </c>
      <c r="P103" s="109" t="n">
        <v>43191</v>
      </c>
      <c r="Q103" s="0" t="n">
        <v>189.349017291</v>
      </c>
    </row>
    <row r="104" customFormat="false" ht="14.25" hidden="false" customHeight="false" outlineLevel="0" collapsed="false">
      <c r="I104" s="109" t="n">
        <v>43282</v>
      </c>
      <c r="J104" s="0" t="n">
        <v>1.88</v>
      </c>
      <c r="K104" s="0" t="n">
        <v>0.12</v>
      </c>
      <c r="L104" s="54" t="n">
        <f aca="false">AVERAGE(K101:K103)</f>
        <v>0.41</v>
      </c>
      <c r="P104" s="109" t="n">
        <v>43221</v>
      </c>
      <c r="Q104" s="0" t="n">
        <v>189.550352608</v>
      </c>
    </row>
    <row r="105" customFormat="false" ht="14.25" hidden="false" customHeight="false" outlineLevel="0" collapsed="false">
      <c r="I105" s="109" t="n">
        <v>43313</v>
      </c>
      <c r="J105" s="0" t="n">
        <v>2.35</v>
      </c>
      <c r="K105" s="0" t="n">
        <v>-0.05</v>
      </c>
      <c r="L105" s="54" t="n">
        <f aca="false">AVERAGE(K102:K104)</f>
        <v>0.283333333333333</v>
      </c>
      <c r="P105" s="109" t="n">
        <v>43252</v>
      </c>
      <c r="Q105" s="0" t="n">
        <v>191.492165172</v>
      </c>
    </row>
    <row r="106" customFormat="false" ht="14.25" hidden="false" customHeight="false" outlineLevel="0" collapsed="false">
      <c r="I106" s="109" t="n">
        <v>43344</v>
      </c>
      <c r="J106" s="0" t="n">
        <v>2.18</v>
      </c>
      <c r="K106" s="0" t="n">
        <v>-0.3</v>
      </c>
      <c r="L106" s="54" t="n">
        <f aca="false">AVERAGE(K103:K105)</f>
        <v>0.236666666666667</v>
      </c>
      <c r="P106" s="109" t="n">
        <v>43282</v>
      </c>
      <c r="Q106" s="0" t="n">
        <v>192.307394599</v>
      </c>
    </row>
    <row r="107" customFormat="false" ht="14.25" hidden="false" customHeight="false" outlineLevel="0" collapsed="false">
      <c r="I107" s="109" t="n">
        <v>43374</v>
      </c>
      <c r="J107" s="0" t="n">
        <v>2.11</v>
      </c>
      <c r="K107" s="0" t="n">
        <v>0.09</v>
      </c>
      <c r="L107" s="54" t="n">
        <f aca="false">AVERAGE(K104:K106)</f>
        <v>-0.0766666666666667</v>
      </c>
      <c r="P107" s="109" t="n">
        <v>43313</v>
      </c>
      <c r="Q107" s="0" t="n">
        <v>193.265868339</v>
      </c>
    </row>
    <row r="108" customFormat="false" ht="14.25" hidden="false" customHeight="false" outlineLevel="0" collapsed="false">
      <c r="I108" s="109" t="n">
        <v>43405</v>
      </c>
      <c r="J108" s="0" t="n">
        <v>2.81</v>
      </c>
      <c r="K108" s="0" t="n">
        <v>0.87</v>
      </c>
      <c r="L108" s="54" t="n">
        <f aca="false">AVERAGE(K105:K107)</f>
        <v>-0.0866666666666667</v>
      </c>
      <c r="P108" s="109" t="n">
        <v>43344</v>
      </c>
      <c r="Q108" s="0" t="n">
        <v>192.759306581</v>
      </c>
    </row>
    <row r="109" customFormat="false" ht="14.25" hidden="false" customHeight="false" outlineLevel="0" collapsed="false">
      <c r="I109" s="109" t="n">
        <v>43435</v>
      </c>
      <c r="J109" s="0" t="n">
        <v>3.47</v>
      </c>
      <c r="K109" s="0" t="n">
        <v>1.08</v>
      </c>
      <c r="L109" s="54" t="n">
        <f aca="false">AVERAGE(K106:K108)</f>
        <v>0.22</v>
      </c>
      <c r="P109" s="109" t="n">
        <v>43374</v>
      </c>
      <c r="Q109" s="0" t="n">
        <v>192.855731224</v>
      </c>
    </row>
    <row r="110" customFormat="false" ht="14.25" hidden="false" customHeight="false" outlineLevel="0" collapsed="false">
      <c r="I110" s="109" t="n">
        <v>43466</v>
      </c>
      <c r="J110" s="0" t="n">
        <v>4.68</v>
      </c>
      <c r="K110" s="0" t="n">
        <v>1.14</v>
      </c>
      <c r="L110" s="54" t="n">
        <f aca="false">AVERAGE(K107:K109)</f>
        <v>0.68</v>
      </c>
      <c r="P110" s="109" t="n">
        <v>43405</v>
      </c>
      <c r="Q110" s="0" t="n">
        <v>194.347411352</v>
      </c>
    </row>
    <row r="111" customFormat="false" ht="14.25" hidden="false" customHeight="false" outlineLevel="0" collapsed="false">
      <c r="I111" s="109" t="n">
        <v>43497</v>
      </c>
      <c r="J111" s="0" t="n">
        <v>5.07</v>
      </c>
      <c r="K111" s="0" t="n">
        <v>0.71</v>
      </c>
      <c r="L111" s="54" t="n">
        <f aca="false">AVERAGE(K108:K110)</f>
        <v>1.03</v>
      </c>
      <c r="P111" s="109" t="n">
        <v>43435</v>
      </c>
      <c r="Q111" s="0" t="n">
        <v>196.000732292</v>
      </c>
    </row>
    <row r="112" customFormat="false" ht="14.25" hidden="false" customHeight="false" outlineLevel="0" collapsed="false">
      <c r="I112" s="109" t="n">
        <v>43525</v>
      </c>
      <c r="J112" s="0" t="n">
        <v>5.56</v>
      </c>
      <c r="K112" s="0" t="n">
        <v>0.55</v>
      </c>
      <c r="L112" s="54" t="n">
        <f aca="false">AVERAGE(K109:K111)</f>
        <v>0.976666666666667</v>
      </c>
      <c r="P112" s="109" t="n">
        <v>43466</v>
      </c>
      <c r="Q112" s="0" t="n">
        <v>197.645338743</v>
      </c>
    </row>
    <row r="113" customFormat="false" ht="14.25" hidden="false" customHeight="false" outlineLevel="0" collapsed="false">
      <c r="I113" s="109" t="n">
        <v>43556</v>
      </c>
      <c r="J113" s="0" t="n">
        <v>5.65</v>
      </c>
      <c r="K113" s="0" t="n">
        <v>0.59</v>
      </c>
      <c r="L113" s="54" t="n">
        <f aca="false">AVERAGE(K110:K112)</f>
        <v>0.8</v>
      </c>
      <c r="P113" s="109" t="n">
        <v>43497</v>
      </c>
      <c r="Q113" s="0" t="n">
        <v>198.604961564</v>
      </c>
    </row>
    <row r="114" customFormat="false" ht="14.25" hidden="false" customHeight="false" outlineLevel="0" collapsed="false">
      <c r="I114" s="109" t="n">
        <v>43586</v>
      </c>
      <c r="J114" s="0" t="n">
        <v>6.12</v>
      </c>
      <c r="K114" s="0" t="n">
        <v>0.53</v>
      </c>
      <c r="L114" s="54" t="n">
        <f aca="false">AVERAGE(K111:K113)</f>
        <v>0.616666666666667</v>
      </c>
      <c r="P114" s="109" t="n">
        <v>43525</v>
      </c>
      <c r="Q114" s="0" t="n">
        <v>199.361511679</v>
      </c>
    </row>
    <row r="115" customFormat="false" ht="14.25" hidden="false" customHeight="false" outlineLevel="0" collapsed="false">
      <c r="I115" s="109" t="n">
        <v>43617</v>
      </c>
      <c r="J115" s="0" t="n">
        <v>5.02</v>
      </c>
      <c r="K115" s="0" t="n">
        <v>-0.41</v>
      </c>
      <c r="L115" s="54" t="n">
        <f aca="false">AVERAGE(K112:K114)</f>
        <v>0.556666666666667</v>
      </c>
      <c r="P115" s="109" t="n">
        <v>43556</v>
      </c>
      <c r="Q115" s="0" t="n">
        <v>200.060235542</v>
      </c>
    </row>
    <row r="116" customFormat="false" ht="14.25" hidden="false" customHeight="false" outlineLevel="0" collapsed="false">
      <c r="I116" s="109" t="n">
        <v>43647</v>
      </c>
      <c r="J116" s="0" t="n">
        <v>4.81</v>
      </c>
      <c r="K116" s="0" t="n">
        <v>-0.08</v>
      </c>
      <c r="L116" s="54" t="n">
        <f aca="false">AVERAGE(K113:K115)</f>
        <v>0.236666666666667</v>
      </c>
      <c r="P116" s="109" t="n">
        <v>43586</v>
      </c>
      <c r="Q116" s="0" t="n">
        <v>201.158119691</v>
      </c>
    </row>
    <row r="117" customFormat="false" ht="14.25" hidden="false" customHeight="false" outlineLevel="0" collapsed="false">
      <c r="I117" s="109" t="n">
        <v>43678</v>
      </c>
      <c r="J117" s="0" t="n">
        <v>4.68</v>
      </c>
      <c r="K117" s="0" t="n">
        <v>-0.17</v>
      </c>
      <c r="L117" s="54" t="n">
        <f aca="false">AVERAGE(K114:K116)</f>
        <v>0.0133333333333334</v>
      </c>
      <c r="P117" s="109" t="n">
        <v>43617</v>
      </c>
      <c r="Q117" s="0" t="n">
        <v>201.10010533</v>
      </c>
    </row>
    <row r="118" customFormat="false" ht="14.25" hidden="false" customHeight="false" outlineLevel="0" collapsed="false">
      <c r="I118" s="109" t="n">
        <v>43709</v>
      </c>
      <c r="J118" s="0" t="n">
        <v>4.66</v>
      </c>
      <c r="K118" s="0" t="n">
        <v>-0.32</v>
      </c>
      <c r="L118" s="54" t="n">
        <f aca="false">AVERAGE(K115:K117)</f>
        <v>-0.22</v>
      </c>
      <c r="P118" s="109" t="n">
        <v>43647</v>
      </c>
      <c r="Q118" s="0" t="n">
        <v>201.550426384</v>
      </c>
    </row>
    <row r="119" customFormat="false" ht="14.25" hidden="false" customHeight="false" outlineLevel="0" collapsed="false">
      <c r="I119" s="109" t="n">
        <v>43739</v>
      </c>
      <c r="J119" s="0" t="n">
        <v>4.89</v>
      </c>
      <c r="K119" s="0" t="n">
        <v>0.3</v>
      </c>
      <c r="L119" s="54" t="n">
        <f aca="false">AVERAGE(K116:K118)</f>
        <v>-0.19</v>
      </c>
      <c r="P119" s="109" t="n">
        <v>43678</v>
      </c>
      <c r="Q119" s="0" t="n">
        <v>202.313115911</v>
      </c>
    </row>
    <row r="120" customFormat="false" ht="14.25" hidden="false" customHeight="false" outlineLevel="0" collapsed="false">
      <c r="I120" s="109" t="n">
        <v>43770</v>
      </c>
      <c r="J120" s="0" t="n">
        <v>4.39</v>
      </c>
      <c r="K120" s="0" t="n">
        <v>0.39</v>
      </c>
      <c r="L120" s="54" t="n">
        <f aca="false">AVERAGE(K117:K119)</f>
        <v>-0.0633333333333333</v>
      </c>
      <c r="P120" s="109" t="n">
        <v>43709</v>
      </c>
      <c r="Q120" s="0" t="n">
        <v>201.744360983</v>
      </c>
    </row>
    <row r="121" customFormat="false" ht="14.25" hidden="false" customHeight="false" outlineLevel="0" collapsed="false">
      <c r="I121" s="109" t="n">
        <v>43800</v>
      </c>
      <c r="J121" s="0" t="n">
        <v>3.69</v>
      </c>
      <c r="K121" s="0" t="n">
        <v>0.41</v>
      </c>
      <c r="L121" s="54" t="n">
        <f aca="false">AVERAGE(K118:K120)</f>
        <v>0.123333333333333</v>
      </c>
      <c r="P121" s="109" t="n">
        <v>43739</v>
      </c>
      <c r="Q121" s="0" t="n">
        <v>202.264464119</v>
      </c>
    </row>
    <row r="122" customFormat="false" ht="14.25" hidden="false" customHeight="false" outlineLevel="0" collapsed="false">
      <c r="I122" s="109" t="n">
        <v>43831</v>
      </c>
      <c r="J122" s="0" t="n">
        <v>3.03</v>
      </c>
      <c r="K122" s="0" t="n">
        <v>0.5</v>
      </c>
      <c r="L122" s="54" t="n">
        <f aca="false">AVERAGE(K119:K121)</f>
        <v>0.366666666666667</v>
      </c>
      <c r="P122" s="109" t="n">
        <v>43770</v>
      </c>
      <c r="Q122" s="0" t="n">
        <v>202.851373399</v>
      </c>
    </row>
    <row r="123" customFormat="false" ht="14.25" hidden="false" customHeight="false" outlineLevel="0" collapsed="false">
      <c r="I123" s="109" t="n">
        <v>43862</v>
      </c>
      <c r="J123" s="0" t="n">
        <v>2.71</v>
      </c>
      <c r="K123" s="0" t="n">
        <v>0.4</v>
      </c>
      <c r="L123" s="54" t="n">
        <f aca="false">AVERAGE(K120:K122)</f>
        <v>0.433333333333333</v>
      </c>
      <c r="P123" s="109" t="n">
        <v>43800</v>
      </c>
      <c r="Q123" s="0" t="n">
        <v>203.239883874</v>
      </c>
    </row>
    <row r="124" customFormat="false" ht="14.25" hidden="false" customHeight="false" outlineLevel="0" collapsed="false">
      <c r="I124" s="109" t="n">
        <v>43891</v>
      </c>
      <c r="J124" s="0" t="n">
        <v>2.84</v>
      </c>
      <c r="K124" s="0" t="n">
        <v>0.67</v>
      </c>
      <c r="L124" s="54" t="n">
        <f aca="false">AVERAGE(K121:K123)</f>
        <v>0.436666666666667</v>
      </c>
      <c r="P124" s="109" t="n">
        <v>43831</v>
      </c>
      <c r="Q124" s="0" t="n">
        <v>203.64694155</v>
      </c>
    </row>
    <row r="125" customFormat="false" ht="14.25" hidden="false" customHeight="false" outlineLevel="0" collapsed="false">
      <c r="I125" s="109" t="n">
        <v>43922</v>
      </c>
      <c r="J125" s="0" t="n">
        <v>3.57</v>
      </c>
      <c r="K125" s="0" t="n">
        <v>1.3</v>
      </c>
      <c r="L125" s="54" t="n">
        <f aca="false">AVERAGE(K122:K124)</f>
        <v>0.523333333333333</v>
      </c>
      <c r="P125" s="109" t="n">
        <v>43862</v>
      </c>
      <c r="Q125" s="0" t="n">
        <v>204.00170042</v>
      </c>
    </row>
    <row r="126" customFormat="false" ht="14.25" hidden="false" customHeight="false" outlineLevel="0" collapsed="false">
      <c r="I126" s="109" t="n">
        <v>43952</v>
      </c>
      <c r="J126" s="0" t="n">
        <v>3.14</v>
      </c>
      <c r="K126" s="0" t="n">
        <v>0.12</v>
      </c>
      <c r="L126" s="54" t="n">
        <f aca="false">AVERAGE(K123:K125)</f>
        <v>0.79</v>
      </c>
      <c r="P126" s="109" t="n">
        <v>43891</v>
      </c>
      <c r="Q126" s="0" t="n">
        <v>205.020543487</v>
      </c>
    </row>
    <row r="127" customFormat="false" ht="14.25" hidden="false" customHeight="false" outlineLevel="0" collapsed="false">
      <c r="I127" s="109" t="n">
        <v>43983</v>
      </c>
      <c r="J127" s="0" t="n">
        <v>3.57</v>
      </c>
      <c r="K127" s="0" t="n">
        <v>0.01</v>
      </c>
      <c r="L127" s="54" t="n">
        <f aca="false">AVERAGE(K124:K126)</f>
        <v>0.696666666666667</v>
      </c>
      <c r="P127" s="109" t="n">
        <v>43922</v>
      </c>
      <c r="Q127" s="0" t="n">
        <v>207.190365819</v>
      </c>
    </row>
    <row r="128" customFormat="false" ht="14.25" hidden="false" customHeight="false" outlineLevel="0" collapsed="false">
      <c r="I128" s="109" t="n">
        <v>44013</v>
      </c>
      <c r="J128" s="0" t="n">
        <v>3.5</v>
      </c>
      <c r="K128" s="0" t="n">
        <v>-0.15</v>
      </c>
      <c r="L128" s="54" t="n">
        <f aca="false">AVERAGE(K125:K127)</f>
        <v>0.476666666666667</v>
      </c>
      <c r="P128" s="109" t="n">
        <v>43952</v>
      </c>
      <c r="Q128" s="0" t="n">
        <v>207.482532759</v>
      </c>
    </row>
    <row r="129" customFormat="false" ht="14.25" hidden="false" customHeight="false" outlineLevel="0" collapsed="false">
      <c r="I129" s="109" t="n">
        <v>44044</v>
      </c>
      <c r="J129" s="0" t="n">
        <v>3.79</v>
      </c>
      <c r="K129" s="0" t="n">
        <v>0.11</v>
      </c>
      <c r="L129" s="54" t="n">
        <f aca="false">AVERAGE(K126:K128)</f>
        <v>-0.00666666666666667</v>
      </c>
      <c r="P129" s="109" t="n">
        <v>43983</v>
      </c>
      <c r="Q129" s="0" t="n">
        <v>208.297809532</v>
      </c>
    </row>
    <row r="130" customFormat="false" ht="14.25" hidden="false" customHeight="false" outlineLevel="0" collapsed="false">
      <c r="I130" s="109" t="n">
        <v>44075</v>
      </c>
      <c r="J130" s="0" t="n">
        <v>4.26</v>
      </c>
      <c r="K130" s="0" t="n">
        <v>0.13</v>
      </c>
      <c r="L130" s="54" t="n">
        <f aca="false">AVERAGE(K127:K129)</f>
        <v>-0.01</v>
      </c>
      <c r="P130" s="109" t="n">
        <v>44013</v>
      </c>
      <c r="Q130" s="0" t="n">
        <v>208.613618139</v>
      </c>
    </row>
    <row r="131" customFormat="false" ht="14.25" hidden="false" customHeight="false" outlineLevel="0" collapsed="false">
      <c r="I131" s="109" t="n">
        <v>44105</v>
      </c>
      <c r="J131" s="0" t="n">
        <v>4.47</v>
      </c>
      <c r="K131" s="0" t="n">
        <v>0.5</v>
      </c>
      <c r="L131" s="54" t="n">
        <f aca="false">AVERAGE(K128:K130)</f>
        <v>0.03</v>
      </c>
      <c r="P131" s="109" t="n">
        <v>44044</v>
      </c>
      <c r="Q131" s="0" t="n">
        <v>209.993316923</v>
      </c>
    </row>
    <row r="132" customFormat="false" ht="14.25" hidden="false" customHeight="false" outlineLevel="0" collapsed="false">
      <c r="I132" s="109" t="n">
        <v>44136</v>
      </c>
      <c r="J132" s="0" t="n">
        <v>4.87</v>
      </c>
      <c r="K132" s="0" t="n">
        <v>0.78</v>
      </c>
      <c r="L132" s="54" t="n">
        <f aca="false">AVERAGE(K129:K131)</f>
        <v>0.246666666666667</v>
      </c>
      <c r="P132" s="109" t="n">
        <v>44075</v>
      </c>
      <c r="Q132" s="0" t="n">
        <v>210.343732856</v>
      </c>
    </row>
    <row r="133" customFormat="false" ht="14.25" hidden="false" customHeight="false" outlineLevel="0" collapsed="false">
      <c r="I133" s="109" t="n">
        <v>44166</v>
      </c>
      <c r="J133" s="0" t="n">
        <v>5.39</v>
      </c>
      <c r="K133" s="0" t="n">
        <v>0.9</v>
      </c>
      <c r="L133" s="54" t="n">
        <f aca="false">AVERAGE(K130:K132)</f>
        <v>0.47</v>
      </c>
      <c r="P133" s="109" t="n">
        <v>44105</v>
      </c>
      <c r="Q133" s="0" t="n">
        <v>211.300985615</v>
      </c>
    </row>
    <row r="134" customFormat="false" ht="14.25" hidden="false" customHeight="false" outlineLevel="0" collapsed="false">
      <c r="I134" s="109" t="n">
        <v>44197</v>
      </c>
      <c r="J134" s="0" t="n">
        <v>5.49</v>
      </c>
      <c r="K134" s="0" t="n">
        <v>0.6</v>
      </c>
      <c r="L134" s="54" t="n">
        <f aca="false">AVERAGE(K131:K133)</f>
        <v>0.726666666666667</v>
      </c>
      <c r="P134" s="109" t="n">
        <v>44136</v>
      </c>
      <c r="Q134" s="0" t="n">
        <v>212.730526069</v>
      </c>
    </row>
    <row r="135" customFormat="false" ht="14.25" hidden="false" customHeight="false" outlineLevel="0" collapsed="false">
      <c r="I135" s="109" t="n">
        <v>44228</v>
      </c>
      <c r="J135" s="0" t="n">
        <v>6.16</v>
      </c>
      <c r="K135" s="0" t="n">
        <v>1.03</v>
      </c>
      <c r="L135" s="54" t="n">
        <f aca="false">AVERAGE(K132:K134)</f>
        <v>0.76</v>
      </c>
      <c r="P135" s="109" t="n">
        <v>44166</v>
      </c>
      <c r="Q135" s="0" t="n">
        <v>214.198049552</v>
      </c>
    </row>
    <row r="136" customFormat="false" ht="14.25" hidden="false" customHeight="false" outlineLevel="0" collapsed="false">
      <c r="I136" s="109" t="n">
        <v>44256</v>
      </c>
      <c r="J136" s="0" t="n">
        <v>6.83</v>
      </c>
      <c r="K136" s="0" t="n">
        <v>1.31</v>
      </c>
      <c r="L136" s="54" t="n">
        <f aca="false">AVERAGE(K133:K135)</f>
        <v>0.843333333333333</v>
      </c>
      <c r="P136" s="109" t="n">
        <v>44197</v>
      </c>
      <c r="Q136" s="0" t="n">
        <v>214.838235778</v>
      </c>
    </row>
    <row r="137" customFormat="false" ht="14.25" hidden="false" customHeight="false" outlineLevel="0" collapsed="false">
      <c r="I137" s="109" t="n">
        <v>44287</v>
      </c>
      <c r="J137" s="0" t="n">
        <v>6.37</v>
      </c>
      <c r="K137" s="0" t="n">
        <v>0.86</v>
      </c>
      <c r="L137" s="54" t="n">
        <f aca="false">AVERAGE(K134:K136)</f>
        <v>0.98</v>
      </c>
      <c r="P137" s="109" t="n">
        <v>44228</v>
      </c>
      <c r="Q137" s="0" t="n">
        <v>216.557711916</v>
      </c>
    </row>
    <row r="138" customFormat="false" ht="14.25" hidden="false" customHeight="false" outlineLevel="0" collapsed="false">
      <c r="I138" s="109" t="n">
        <v>44317</v>
      </c>
      <c r="J138" s="0" t="n">
        <v>6.69</v>
      </c>
      <c r="K138" s="0" t="n">
        <v>0.41</v>
      </c>
      <c r="L138" s="54" t="n">
        <f aca="false">AVERAGE(K135:K137)</f>
        <v>1.06666666666667</v>
      </c>
      <c r="P138" s="109" t="n">
        <v>44256</v>
      </c>
      <c r="Q138" s="0" t="n">
        <v>219.023336868</v>
      </c>
    </row>
    <row r="139" customFormat="false" ht="14.25" hidden="false" customHeight="false" outlineLevel="0" collapsed="false">
      <c r="I139" s="109" t="n">
        <v>44348</v>
      </c>
      <c r="J139" s="0" t="n">
        <v>7.27</v>
      </c>
      <c r="K139" s="0" t="n">
        <v>0.56</v>
      </c>
      <c r="L139" s="54" t="n">
        <f aca="false">AVERAGE(K136:K138)</f>
        <v>0.86</v>
      </c>
      <c r="P139" s="109" t="n">
        <v>44287</v>
      </c>
      <c r="Q139" s="0" t="n">
        <v>220.385232804</v>
      </c>
    </row>
    <row r="140" customFormat="false" ht="14.25" hidden="false" customHeight="false" outlineLevel="0" collapsed="false">
      <c r="I140" s="109" t="n">
        <v>44378</v>
      </c>
      <c r="J140" s="0" t="n">
        <v>7.66</v>
      </c>
      <c r="K140" s="0" t="n">
        <v>0.22</v>
      </c>
      <c r="L140" s="54" t="n">
        <f aca="false">AVERAGE(K137:K139)</f>
        <v>0.61</v>
      </c>
      <c r="P140" s="109" t="n">
        <v>44317</v>
      </c>
      <c r="Q140" s="0" t="n">
        <v>221.339057894</v>
      </c>
    </row>
    <row r="141" customFormat="false" ht="14.25" hidden="false" customHeight="false" outlineLevel="0" collapsed="false">
      <c r="I141" s="109" t="n">
        <v>44409</v>
      </c>
      <c r="J141" s="0" t="n">
        <v>7.72</v>
      </c>
      <c r="K141" s="0" t="n">
        <v>0.16</v>
      </c>
      <c r="L141" s="54" t="n">
        <f aca="false">AVERAGE(K138:K140)</f>
        <v>0.396666666666667</v>
      </c>
      <c r="P141" s="109" t="n">
        <v>44348</v>
      </c>
      <c r="Q141" s="0" t="n">
        <v>223.430311848</v>
      </c>
    </row>
    <row r="142" customFormat="false" ht="14.25" hidden="false" customHeight="false" outlineLevel="0" collapsed="false">
      <c r="I142" s="109" t="n">
        <v>44440</v>
      </c>
      <c r="J142" s="0" t="n">
        <v>8.37</v>
      </c>
      <c r="K142" s="0" t="n">
        <v>0.73</v>
      </c>
      <c r="L142" s="54" t="n">
        <f aca="false">AVERAGE(K139:K141)</f>
        <v>0.313333333333333</v>
      </c>
      <c r="P142" s="109" t="n">
        <v>44378</v>
      </c>
      <c r="Q142" s="0" t="n">
        <v>224.59070691</v>
      </c>
    </row>
    <row r="143" customFormat="false" ht="14.25" hidden="false" customHeight="false" outlineLevel="0" collapsed="false">
      <c r="I143" s="109" t="n">
        <v>44470</v>
      </c>
      <c r="J143" s="0" t="n">
        <v>8.83</v>
      </c>
      <c r="K143" s="0" t="n">
        <v>0.92</v>
      </c>
      <c r="L143" s="54" t="n">
        <f aca="false">AVERAGE(K140:K142)</f>
        <v>0.37</v>
      </c>
      <c r="P143" s="109" t="n">
        <v>44409</v>
      </c>
      <c r="Q143" s="0" t="n">
        <v>226.194021145</v>
      </c>
    </row>
    <row r="144" customFormat="false" ht="14.25" hidden="false" customHeight="false" outlineLevel="0" collapsed="false">
      <c r="I144" s="109" t="n">
        <v>44501</v>
      </c>
      <c r="J144" s="0" t="n">
        <v>8.91</v>
      </c>
      <c r="K144" s="0" t="n">
        <v>0.86</v>
      </c>
      <c r="L144" s="54" t="n">
        <f aca="false">AVERAGE(K141:K143)</f>
        <v>0.603333333333333</v>
      </c>
      <c r="P144" s="109" t="n">
        <v>44440</v>
      </c>
      <c r="Q144" s="0" t="n">
        <v>227.920044417</v>
      </c>
    </row>
    <row r="145" customFormat="false" ht="14.25" hidden="false" customHeight="false" outlineLevel="0" collapsed="false">
      <c r="I145" s="109" t="n">
        <v>44531</v>
      </c>
      <c r="J145" s="0" t="n">
        <v>8.17</v>
      </c>
      <c r="K145" s="0" t="n">
        <v>0.21</v>
      </c>
      <c r="L145" s="54" t="n">
        <f aca="false">AVERAGE(K142:K144)</f>
        <v>0.836666666666667</v>
      </c>
      <c r="P145" s="109" t="n">
        <v>44470</v>
      </c>
      <c r="Q145" s="0" t="n">
        <v>229.907517282</v>
      </c>
    </row>
    <row r="146" customFormat="false" ht="14.25" hidden="false" customHeight="false" outlineLevel="0" collapsed="false">
      <c r="I146" s="109" t="n">
        <v>44562</v>
      </c>
      <c r="J146" s="0" t="n">
        <v>8.84</v>
      </c>
      <c r="K146" s="0" t="n">
        <v>1.22</v>
      </c>
      <c r="L146" s="54" t="n">
        <f aca="false">AVERAGE(K143:K145)</f>
        <v>0.663333333333333</v>
      </c>
      <c r="P146" s="109" t="n">
        <v>44501</v>
      </c>
      <c r="Q146" s="0" t="n">
        <v>231.641016371</v>
      </c>
    </row>
    <row r="147" customFormat="false" ht="14.25" hidden="false" customHeight="false" outlineLevel="0" collapsed="false">
      <c r="I147" s="109" t="n">
        <v>44593</v>
      </c>
      <c r="J147" s="0" t="n">
        <v>8.73</v>
      </c>
      <c r="K147" s="0" t="n">
        <v>0.94</v>
      </c>
      <c r="L147" s="54" t="n">
        <f aca="false">AVERAGE(K144:K146)</f>
        <v>0.763333333333333</v>
      </c>
      <c r="P147" s="109" t="n">
        <v>44531</v>
      </c>
      <c r="Q147" s="0" t="n">
        <v>231.664598784</v>
      </c>
    </row>
    <row r="148" customFormat="false" ht="14.25" hidden="false" customHeight="false" outlineLevel="0" collapsed="false">
      <c r="I148" s="109" t="n">
        <v>44621</v>
      </c>
      <c r="J148" s="0" t="n">
        <v>13.29</v>
      </c>
      <c r="K148" s="0" t="n">
        <v>5.55</v>
      </c>
      <c r="L148" s="54" t="n">
        <f aca="false">AVERAGE(K145:K147)</f>
        <v>0.79</v>
      </c>
      <c r="P148" s="109" t="n">
        <v>44562</v>
      </c>
      <c r="Q148" s="0" t="n">
        <v>233.784233199</v>
      </c>
    </row>
    <row r="149" customFormat="false" ht="14.25" hidden="false" customHeight="false" outlineLevel="0" collapsed="false">
      <c r="I149" s="109" t="n">
        <v>44652</v>
      </c>
      <c r="J149" s="0" t="n">
        <v>16</v>
      </c>
      <c r="K149" s="0" t="n">
        <v>3.28</v>
      </c>
      <c r="L149" s="54" t="n">
        <f aca="false">AVERAGE(K146:K148)</f>
        <v>2.57</v>
      </c>
      <c r="P149" s="109" t="n">
        <v>44593</v>
      </c>
      <c r="Q149" s="0" t="n">
        <v>235.44111084</v>
      </c>
    </row>
    <row r="150" customFormat="false" ht="14.25" hidden="false" customHeight="false" outlineLevel="0" collapsed="false">
      <c r="I150" s="109" t="n">
        <v>44682</v>
      </c>
      <c r="J150" s="0" t="n">
        <v>16.31</v>
      </c>
      <c r="K150" s="0" t="n">
        <v>0.68</v>
      </c>
      <c r="L150" s="54" t="n">
        <f aca="false">AVERAGE(K147:K149)</f>
        <v>3.25666666666667</v>
      </c>
      <c r="P150" s="109" t="n">
        <v>44621</v>
      </c>
      <c r="Q150" s="0" t="n">
        <v>248.093396561</v>
      </c>
    </row>
    <row r="151" customFormat="false" ht="14.25" hidden="false" customHeight="false" outlineLevel="0" collapsed="false">
      <c r="I151" s="109" t="n">
        <v>44713</v>
      </c>
      <c r="J151" s="0" t="n">
        <v>14.88</v>
      </c>
      <c r="K151" s="0" t="n">
        <v>-0.68</v>
      </c>
      <c r="L151" s="54" t="n">
        <f aca="false">AVERAGE(K148:K150)</f>
        <v>3.17</v>
      </c>
      <c r="P151" s="109" t="n">
        <v>44652</v>
      </c>
      <c r="Q151" s="0" t="n">
        <v>255.633098878</v>
      </c>
    </row>
    <row r="152" customFormat="false" ht="14.25" hidden="false" customHeight="false" outlineLevel="0" collapsed="false">
      <c r="I152" s="109" t="n">
        <v>44743</v>
      </c>
      <c r="J152" s="0" t="n">
        <v>13.75</v>
      </c>
      <c r="K152" s="0" t="n">
        <v>-0.77</v>
      </c>
      <c r="L152" s="54" t="n">
        <f aca="false">AVERAGE(K149:K151)</f>
        <v>1.09333333333333</v>
      </c>
      <c r="P152" s="109" t="n">
        <v>44682</v>
      </c>
      <c r="Q152" s="0" t="n">
        <v>257.432425656</v>
      </c>
    </row>
    <row r="153" customFormat="false" ht="14.25" hidden="false" customHeight="false" outlineLevel="0" collapsed="false">
      <c r="I153" s="109" t="n">
        <v>44774</v>
      </c>
      <c r="J153" s="0" t="n">
        <v>12.92</v>
      </c>
      <c r="K153" s="0" t="n">
        <v>-0.57</v>
      </c>
      <c r="L153" s="54" t="n">
        <f aca="false">AVERAGE(K150:K152)</f>
        <v>-0.256666666666667</v>
      </c>
      <c r="P153" s="109" t="n">
        <v>44713</v>
      </c>
      <c r="Q153" s="0" t="n">
        <v>256.661193336</v>
      </c>
    </row>
    <row r="154" customFormat="false" ht="14.25" hidden="false" customHeight="false" outlineLevel="0" collapsed="false">
      <c r="I154" s="109" t="n">
        <v>44805</v>
      </c>
      <c r="J154" s="0" t="n">
        <v>12.46</v>
      </c>
      <c r="K154" s="0" t="n">
        <v>0.33</v>
      </c>
      <c r="L154" s="54" t="n">
        <f aca="false">AVERAGE(K151:K153)</f>
        <v>-0.673333333333333</v>
      </c>
      <c r="P154" s="109" t="n">
        <v>44743</v>
      </c>
      <c r="Q154" s="0" t="n">
        <v>255.43330607</v>
      </c>
    </row>
    <row r="155" customFormat="false" ht="14.25" hidden="false" customHeight="false" outlineLevel="0" collapsed="false">
      <c r="I155" s="109" t="n">
        <v>44835</v>
      </c>
      <c r="J155" s="0" t="n">
        <v>12.17</v>
      </c>
      <c r="K155" s="0" t="n">
        <v>0.66</v>
      </c>
      <c r="L155" s="54" t="n">
        <f aca="false">AVERAGE(K152:K154)</f>
        <v>-0.336666666666667</v>
      </c>
      <c r="P155" s="109" t="n">
        <v>44774</v>
      </c>
      <c r="Q155" s="0" t="n">
        <v>255.387632684</v>
      </c>
    </row>
    <row r="156" customFormat="false" ht="14.25" hidden="false" customHeight="false" outlineLevel="0" collapsed="false">
      <c r="I156" s="109" t="n">
        <v>44866</v>
      </c>
      <c r="J156" s="0" t="n">
        <v>11.51</v>
      </c>
      <c r="K156" s="0" t="n">
        <v>0.26</v>
      </c>
      <c r="L156" s="54" t="n">
        <f aca="false">AVERAGE(K153:K155)</f>
        <v>0.14</v>
      </c>
      <c r="P156" s="109" t="n">
        <v>44805</v>
      </c>
      <c r="Q156" s="0" t="n">
        <v>256.304135976</v>
      </c>
    </row>
    <row r="157" customFormat="false" ht="14.25" hidden="false" customHeight="false" outlineLevel="0" collapsed="false">
      <c r="I157" s="109" t="n">
        <v>44896</v>
      </c>
      <c r="J157" s="0" t="n">
        <v>11.9</v>
      </c>
      <c r="K157" s="0" t="n">
        <v>0.57</v>
      </c>
      <c r="L157" s="54" t="n">
        <f aca="false">AVERAGE(K154:K156)</f>
        <v>0.416666666666667</v>
      </c>
      <c r="P157" s="109" t="n">
        <v>44835</v>
      </c>
      <c r="Q157" s="0" t="n">
        <v>257.868483917</v>
      </c>
    </row>
    <row r="158" customFormat="false" ht="14.25" hidden="false" customHeight="false" outlineLevel="0" collapsed="false">
      <c r="I158" s="109" t="n">
        <v>44927</v>
      </c>
      <c r="J158" s="0" t="n">
        <v>11.8</v>
      </c>
      <c r="K158" s="0" t="n">
        <v>1.13</v>
      </c>
      <c r="L158" s="54" t="n">
        <f aca="false">AVERAGE(K155:K157)</f>
        <v>0.496666666666667</v>
      </c>
      <c r="P158" s="109" t="n">
        <v>44866</v>
      </c>
      <c r="Q158" s="0" t="n">
        <v>258.260450459</v>
      </c>
    </row>
    <row r="159" customFormat="false" ht="14.25" hidden="false" customHeight="false" outlineLevel="0" collapsed="false">
      <c r="I159" s="109" t="n">
        <v>44958</v>
      </c>
      <c r="J159" s="0" t="n">
        <v>11.59</v>
      </c>
      <c r="K159" s="0" t="n">
        <v>0.75</v>
      </c>
      <c r="L159" s="54" t="n">
        <f aca="false">AVERAGE(K156:K158)</f>
        <v>0.653333333333333</v>
      </c>
      <c r="P159" s="109" t="n">
        <v>44896</v>
      </c>
      <c r="Q159" s="0" t="n">
        <v>259.23109683</v>
      </c>
    </row>
    <row r="160" customFormat="false" ht="14.25" hidden="false" customHeight="false" outlineLevel="0" collapsed="false">
      <c r="I160" s="109" t="n">
        <v>44986</v>
      </c>
      <c r="J160" s="0" t="n">
        <v>6.14</v>
      </c>
      <c r="K160" s="0" t="n">
        <v>0.39</v>
      </c>
      <c r="L160" s="54" t="n">
        <f aca="false">AVERAGE(K157:K159)</f>
        <v>0.816666666666667</v>
      </c>
      <c r="P160" s="109" t="n">
        <v>44927</v>
      </c>
      <c r="Q160" s="0" t="n">
        <v>261.367138816</v>
      </c>
    </row>
    <row r="161" customFormat="false" ht="14.25" hidden="false" customHeight="false" outlineLevel="0" collapsed="false">
      <c r="I161" s="109" t="n">
        <v>45017</v>
      </c>
      <c r="J161" s="0" t="n">
        <v>3.51</v>
      </c>
      <c r="K161" s="0" t="n">
        <v>0.72</v>
      </c>
      <c r="L161" s="54" t="n">
        <f aca="false">AVERAGE(K158:K160)</f>
        <v>0.756666666666667</v>
      </c>
      <c r="P161" s="109" t="n">
        <v>44958</v>
      </c>
      <c r="Q161" s="0" t="n">
        <v>262.721073879</v>
      </c>
    </row>
    <row r="162" customFormat="false" ht="14.25" hidden="false" customHeight="false" outlineLevel="0" collapsed="false">
      <c r="I162" s="109" t="n">
        <v>45047</v>
      </c>
      <c r="J162" s="0" t="n">
        <v>2.55</v>
      </c>
      <c r="K162" s="0" t="n">
        <v>-0.25</v>
      </c>
      <c r="L162" s="54" t="n">
        <f aca="false">AVERAGE(K159:K161)</f>
        <v>0.62</v>
      </c>
      <c r="P162" s="109" t="n">
        <v>44986</v>
      </c>
      <c r="Q162" s="0" t="n">
        <v>263.312685017</v>
      </c>
    </row>
    <row r="163" customFormat="false" ht="14.25" hidden="false" customHeight="false" outlineLevel="0" collapsed="false">
      <c r="I163" s="109" t="n">
        <v>45078</v>
      </c>
      <c r="J163" s="0" t="n">
        <v>3.69</v>
      </c>
      <c r="K163" s="0" t="n">
        <v>0.43</v>
      </c>
      <c r="L163" s="54" t="n">
        <f aca="false">AVERAGE(K160:K162)</f>
        <v>0.286666666666667</v>
      </c>
      <c r="P163" s="109" t="n">
        <v>45017</v>
      </c>
      <c r="Q163" s="0" t="n">
        <v>264.602013069</v>
      </c>
    </row>
    <row r="164" customFormat="false" ht="14.25" hidden="false" customHeight="false" outlineLevel="0" collapsed="false">
      <c r="I164" s="109" t="n">
        <v>45108</v>
      </c>
      <c r="J164" s="0" t="n">
        <v>5.03</v>
      </c>
      <c r="K164" s="0" t="n">
        <v>0.5</v>
      </c>
      <c r="L164" s="54" t="n">
        <f aca="false">AVERAGE(K161:K163)</f>
        <v>0.3</v>
      </c>
      <c r="P164" s="109" t="n">
        <v>45047</v>
      </c>
      <c r="Q164" s="0" t="n">
        <v>264.011876134</v>
      </c>
    </row>
    <row r="165" customFormat="false" ht="14.25" hidden="false" customHeight="false" outlineLevel="0" collapsed="false">
      <c r="I165" s="109" t="n">
        <v>45139</v>
      </c>
      <c r="J165" s="0" t="n">
        <v>5.56</v>
      </c>
      <c r="K165" s="0" t="n">
        <v>-0.07</v>
      </c>
      <c r="L165" s="54" t="n">
        <f aca="false">AVERAGE(K162:K164)</f>
        <v>0.226666666666667</v>
      </c>
      <c r="P165" s="109" t="n">
        <v>45078</v>
      </c>
      <c r="Q165" s="0" t="n">
        <v>266.161393848</v>
      </c>
    </row>
    <row r="166" customFormat="false" ht="14.25" hidden="false" customHeight="false" outlineLevel="0" collapsed="false">
      <c r="I166" s="109" t="n">
        <v>45170</v>
      </c>
      <c r="J166" s="0" t="n">
        <v>7.05</v>
      </c>
      <c r="K166" s="0" t="n">
        <v>1.75</v>
      </c>
      <c r="L166" s="54" t="n">
        <f aca="false">AVERAGE(K163:K165)</f>
        <v>0.286666666666667</v>
      </c>
      <c r="P166" s="109" t="n">
        <v>45108</v>
      </c>
      <c r="Q166" s="0" t="n">
        <v>268.256651166</v>
      </c>
    </row>
    <row r="167" customFormat="false" ht="14.25" hidden="false" customHeight="false" outlineLevel="0" collapsed="false">
      <c r="I167" s="109" t="n">
        <v>45200</v>
      </c>
      <c r="J167" s="0" t="n">
        <v>6.84</v>
      </c>
      <c r="K167" s="0" t="n">
        <v>0.46</v>
      </c>
      <c r="L167" s="54" t="n">
        <f aca="false">AVERAGE(K164:K166)</f>
        <v>0.726666666666667</v>
      </c>
      <c r="P167" s="109" t="n">
        <v>45139</v>
      </c>
      <c r="Q167" s="0" t="n">
        <v>269.558808149</v>
      </c>
    </row>
    <row r="168" customFormat="false" ht="14.25" hidden="false" customHeight="false" outlineLevel="0" collapsed="false">
      <c r="I168" s="109" t="n">
        <v>45231</v>
      </c>
      <c r="J168" s="0" t="n">
        <v>7.34</v>
      </c>
      <c r="K168" s="0" t="n">
        <v>0.74</v>
      </c>
      <c r="L168" s="54" t="n">
        <f aca="false">AVERAGE(K165:K167)</f>
        <v>0.713333333333333</v>
      </c>
      <c r="P168" s="109" t="n">
        <v>45170</v>
      </c>
      <c r="Q168" s="0" t="n">
        <v>274.347870151</v>
      </c>
    </row>
    <row r="169" customFormat="false" ht="14.25" hidden="false" customHeight="false" outlineLevel="0" collapsed="false">
      <c r="I169" s="109" t="n">
        <v>45261</v>
      </c>
      <c r="J169" s="0" t="n">
        <v>7.05</v>
      </c>
      <c r="K169" s="0" t="n">
        <v>0.29</v>
      </c>
      <c r="L169" s="54" t="n">
        <f aca="false">AVERAGE(K166:K168)</f>
        <v>0.983333333333333</v>
      </c>
      <c r="P169" s="109" t="n">
        <v>45200</v>
      </c>
      <c r="Q169" s="0" t="n">
        <v>275.470718343</v>
      </c>
    </row>
    <row r="170" customFormat="false" ht="14.25" hidden="false" customHeight="false" outlineLevel="0" collapsed="false">
      <c r="I170" s="109" t="n">
        <v>45292</v>
      </c>
      <c r="J170" s="0" t="n">
        <v>6.77</v>
      </c>
      <c r="K170" s="0" t="n">
        <v>0.87</v>
      </c>
      <c r="L170" s="54" t="n">
        <f aca="false">AVERAGE(K167:K169)</f>
        <v>0.496666666666667</v>
      </c>
      <c r="P170" s="109" t="n">
        <v>45231</v>
      </c>
      <c r="Q170" s="0" t="n">
        <v>277.201644262</v>
      </c>
    </row>
    <row r="171" customFormat="false" ht="14.25" hidden="false" customHeight="false" outlineLevel="0" collapsed="false">
      <c r="I171" s="109" t="n">
        <v>45323</v>
      </c>
      <c r="J171" s="0" t="n">
        <v>6.54</v>
      </c>
      <c r="K171" s="0" t="n">
        <v>0.53</v>
      </c>
      <c r="L171" s="54" t="n">
        <f aca="false">AVERAGE(K168:K170)</f>
        <v>0.633333333333333</v>
      </c>
      <c r="P171" s="109" t="n">
        <v>45261</v>
      </c>
      <c r="Q171" s="0" t="n">
        <v>277.482753443</v>
      </c>
    </row>
    <row r="172" customFormat="false" ht="14.25" hidden="false" customHeight="false" outlineLevel="0" collapsed="false">
      <c r="I172" s="109" t="n">
        <v>45352</v>
      </c>
      <c r="J172" s="0" t="n">
        <v>6.68</v>
      </c>
      <c r="K172" s="0" t="n">
        <v>0.53</v>
      </c>
      <c r="L172" s="54" t="n">
        <f aca="false">AVERAGE(K169:K171)</f>
        <v>0.563333333333333</v>
      </c>
      <c r="P172" s="109" t="n">
        <v>45292</v>
      </c>
      <c r="Q172" s="0" t="n">
        <v>279.052697726</v>
      </c>
    </row>
    <row r="173" customFormat="false" ht="14.25" hidden="false" customHeight="false" outlineLevel="0" collapsed="false">
      <c r="I173" s="109" t="n">
        <v>45383</v>
      </c>
      <c r="J173" s="0" t="n">
        <v>6.32</v>
      </c>
      <c r="K173" s="0" t="n">
        <v>0.38</v>
      </c>
      <c r="L173" s="54" t="n">
        <f aca="false">AVERAGE(K170:K172)</f>
        <v>0.643333333333333</v>
      </c>
      <c r="P173" s="109" t="n">
        <v>45323</v>
      </c>
      <c r="Q173" s="0" t="n">
        <v>279.882523719</v>
      </c>
    </row>
    <row r="174" customFormat="false" ht="14.25" hidden="false" customHeight="false" outlineLevel="0" collapsed="false">
      <c r="I174" s="109" t="n">
        <v>45413</v>
      </c>
      <c r="J174" s="0" t="n">
        <v>7.59</v>
      </c>
      <c r="K174" s="0" t="n">
        <v>0.94</v>
      </c>
      <c r="L174" s="54" t="n">
        <f aca="false">AVERAGE(K171:K173)</f>
        <v>0.48</v>
      </c>
      <c r="P174" s="109" t="n">
        <v>45352</v>
      </c>
      <c r="Q174" s="0" t="n">
        <v>280.908995901</v>
      </c>
    </row>
    <row r="175" customFormat="false" ht="14.25" hidden="false" customHeight="false" outlineLevel="0" collapsed="false">
      <c r="I175" s="109" t="n">
        <v>45444</v>
      </c>
      <c r="J175" s="0" t="n">
        <v>7.33</v>
      </c>
      <c r="K175" s="0" t="n">
        <v>0.18</v>
      </c>
      <c r="L175" s="54" t="n">
        <f aca="false">AVERAGE(K172:K174)</f>
        <v>0.616666666666667</v>
      </c>
      <c r="P175" s="109" t="n">
        <v>45383</v>
      </c>
      <c r="Q175" s="0" t="n">
        <v>281.341950598</v>
      </c>
      <c r="R175" s="0" t="n">
        <v>100.33</v>
      </c>
    </row>
    <row r="176" customFormat="false" ht="14.25" hidden="false" customHeight="false" outlineLevel="0" collapsed="false">
      <c r="I176" s="109" t="n">
        <v>45474</v>
      </c>
      <c r="J176" s="0" t="n">
        <v>7.94</v>
      </c>
      <c r="K176" s="0" t="n">
        <v>1.07</v>
      </c>
      <c r="L176" s="54" t="n">
        <f aca="false">AVERAGE(K173:K175)</f>
        <v>0.5</v>
      </c>
      <c r="P176" s="109" t="n">
        <v>45413</v>
      </c>
      <c r="Q176" s="0" t="n">
        <v>284.067942938</v>
      </c>
      <c r="R176" s="0" t="n">
        <v>100.33</v>
      </c>
    </row>
    <row r="177" customFormat="false" ht="14.25" hidden="false" customHeight="false" outlineLevel="0" collapsed="false">
      <c r="I177" s="109" t="n">
        <v>45505</v>
      </c>
      <c r="J177" s="0" t="n">
        <v>8.1</v>
      </c>
      <c r="K177" s="0" t="n">
        <v>0.09</v>
      </c>
      <c r="L177" s="54" t="n">
        <f aca="false">AVERAGE(K174:K176)</f>
        <v>0.73</v>
      </c>
      <c r="P177" s="109" t="n">
        <v>45444</v>
      </c>
      <c r="Q177" s="0" t="n">
        <v>285.667335738</v>
      </c>
      <c r="R177" s="0" t="n">
        <v>100.33</v>
      </c>
    </row>
    <row r="178" customFormat="false" ht="14.25" hidden="false" customHeight="false" outlineLevel="0" collapsed="false">
      <c r="I178" s="109" t="n">
        <v>45536</v>
      </c>
      <c r="J178" s="0" t="n">
        <v>6.91</v>
      </c>
      <c r="K178" s="0" t="n">
        <v>0.62</v>
      </c>
      <c r="L178" s="54" t="n">
        <f aca="false">AVERAGE(K175:K177)</f>
        <v>0.446666666666667</v>
      </c>
      <c r="P178" s="109" t="n">
        <v>45474</v>
      </c>
      <c r="Q178" s="0" t="n">
        <v>289.529651589</v>
      </c>
      <c r="R178" s="0" t="n">
        <v>100.33</v>
      </c>
    </row>
    <row r="179" customFormat="false" ht="14.25" hidden="false" customHeight="false" outlineLevel="0" collapsed="false">
      <c r="I179" s="109" t="n">
        <v>45566</v>
      </c>
      <c r="J179" s="0" t="n">
        <v>7.49</v>
      </c>
      <c r="K179" s="0" t="n">
        <v>1.02</v>
      </c>
      <c r="L179" s="54" t="n">
        <f aca="false">AVERAGE(K176:K178)</f>
        <v>0.593333333333333</v>
      </c>
      <c r="P179" s="109" t="n">
        <v>45505</v>
      </c>
      <c r="Q179" s="0" t="n">
        <v>291.402503446</v>
      </c>
      <c r="R179" s="0" t="n">
        <v>100.33</v>
      </c>
    </row>
    <row r="180" customFormat="false" ht="14.25" hidden="false" customHeight="false" outlineLevel="0" collapsed="false">
      <c r="I180" s="109" t="n">
        <v>45597</v>
      </c>
      <c r="J180" s="0" t="n">
        <v>8.31</v>
      </c>
      <c r="K180" s="0" t="n">
        <v>1.5</v>
      </c>
      <c r="L180" s="54" t="n">
        <f aca="false">AVERAGE(K177:K179)</f>
        <v>0.576666666666667</v>
      </c>
      <c r="P180" s="109" t="n">
        <v>45536</v>
      </c>
      <c r="Q180" s="0" t="n">
        <v>293.292516865</v>
      </c>
      <c r="R180" s="0" t="n">
        <v>100.33</v>
      </c>
    </row>
    <row r="181" customFormat="false" ht="14.25" hidden="false" customHeight="false" outlineLevel="0" collapsed="false">
      <c r="I181" s="109" t="n">
        <v>45627</v>
      </c>
      <c r="J181" s="0" t="n">
        <v>8.98</v>
      </c>
      <c r="K181" s="0" t="n">
        <v>0.91</v>
      </c>
      <c r="L181" s="54" t="n">
        <f aca="false">AVERAGE(K178:K180)</f>
        <v>1.04666666666667</v>
      </c>
      <c r="P181" s="109" t="n">
        <v>45566</v>
      </c>
      <c r="Q181" s="0" t="n">
        <v>296.131967678</v>
      </c>
      <c r="R181" s="0" t="n">
        <v>100.33</v>
      </c>
    </row>
    <row r="182" customFormat="false" ht="14.25" hidden="false" customHeight="false" outlineLevel="0" collapsed="false">
      <c r="I182" s="109" t="n">
        <v>45658</v>
      </c>
      <c r="J182" s="0" t="n">
        <v>8.95</v>
      </c>
      <c r="K182" s="0" t="n">
        <v>0.84</v>
      </c>
      <c r="L182" s="54" t="n">
        <f aca="false">AVERAGE(K179:K181)</f>
        <v>1.14333333333333</v>
      </c>
      <c r="P182" s="109" t="n">
        <v>45597</v>
      </c>
      <c r="Q182" s="0" t="n">
        <v>300.231519</v>
      </c>
      <c r="R182" s="0" t="n">
        <v>100.33</v>
      </c>
    </row>
    <row r="183" customFormat="false" ht="14.25" hidden="false" customHeight="false" outlineLevel="0" collapsed="false">
      <c r="I183" s="109" t="n">
        <v>45689</v>
      </c>
      <c r="J183" s="0" t="n">
        <v>9.83</v>
      </c>
      <c r="K183" s="0" t="n">
        <v>1.34</v>
      </c>
      <c r="L183" s="54" t="n">
        <f aca="false">AVERAGE(K180:K182)</f>
        <v>1.08333333333333</v>
      </c>
      <c r="P183" s="109" t="n">
        <v>45627</v>
      </c>
      <c r="Q183" s="0" t="n">
        <v>302.402799906</v>
      </c>
      <c r="R183" s="0" t="n">
        <v>100.33</v>
      </c>
    </row>
    <row r="184" customFormat="false" ht="14.25" hidden="false" customHeight="false" outlineLevel="0" collapsed="false">
      <c r="I184" s="109" t="n">
        <v>45717</v>
      </c>
      <c r="K184" s="0" t="n">
        <v>0.8</v>
      </c>
      <c r="L184" s="54" t="n">
        <f aca="false">AVERAGE(K181:K183)</f>
        <v>1.03</v>
      </c>
      <c r="P184" s="109" t="n">
        <v>45658</v>
      </c>
      <c r="Q184" s="0" t="n">
        <v>304.02493059</v>
      </c>
      <c r="R184" s="0" t="n">
        <v>100.33</v>
      </c>
    </row>
    <row r="185" customFormat="false" ht="14.25" hidden="false" customHeight="false" outlineLevel="0" collapsed="false">
      <c r="I185" s="109" t="n">
        <v>45748</v>
      </c>
      <c r="L185" s="54" t="n">
        <f aca="false">AVERAGE(K182:K184)</f>
        <v>0.993333333333333</v>
      </c>
      <c r="P185" s="109" t="n">
        <v>45689</v>
      </c>
      <c r="Q185" s="0" t="n">
        <v>307.379452693</v>
      </c>
      <c r="R185" s="0" t="n">
        <v>100.33</v>
      </c>
    </row>
    <row r="186" customFormat="false" ht="14.25" hidden="false" customHeight="false" outlineLevel="0" collapsed="false">
      <c r="P186" s="109" t="n">
        <v>45717</v>
      </c>
      <c r="Q186" s="0" t="n">
        <v>309.334840639</v>
      </c>
      <c r="R186" s="0" t="n">
        <v>100.33</v>
      </c>
      <c r="S186" s="25" t="n">
        <f aca="false">ROUND(PRODUCT(R175:R186)/100^11,2)</f>
        <v>104.03</v>
      </c>
    </row>
    <row r="187" customFormat="false" ht="14.25" hidden="false" customHeight="false" outlineLevel="0" collapsed="false">
      <c r="P187" s="109" t="n">
        <v>45748</v>
      </c>
      <c r="Q187" s="0" t="n">
        <v>310.032468809</v>
      </c>
    </row>
    <row r="188" customFormat="false" ht="14.25" hidden="false" customHeight="false" outlineLevel="0" collapsed="false">
      <c r="P188" s="109" t="n">
        <v>45778</v>
      </c>
      <c r="Q188" s="0" t="n">
        <v>310.74603675</v>
      </c>
    </row>
    <row r="189" customFormat="false" ht="14.25" hidden="false" customHeight="false" outlineLevel="0" collapsed="false">
      <c r="P189" s="109" t="n">
        <v>45809</v>
      </c>
      <c r="Q189" s="0" t="n">
        <v>312.214310645</v>
      </c>
    </row>
    <row r="190" customFormat="false" ht="14.25" hidden="false" customHeight="false" outlineLevel="0" collapsed="false">
      <c r="P190" s="109" t="n">
        <v>45839</v>
      </c>
      <c r="Q190" s="0" t="n">
        <v>316.205537584</v>
      </c>
    </row>
    <row r="191" customFormat="false" ht="14.25" hidden="false" customHeight="false" outlineLevel="0" collapsed="false">
      <c r="P191" s="109" t="n">
        <v>45870</v>
      </c>
      <c r="Q191" s="0" t="n">
        <v>317.741717834</v>
      </c>
    </row>
    <row r="192" customFormat="false" ht="14.25" hidden="false" customHeight="false" outlineLevel="0" collapsed="false">
      <c r="P192" s="109" t="n">
        <v>45901</v>
      </c>
      <c r="Q192" s="0" t="n">
        <v>318.476156464</v>
      </c>
    </row>
    <row r="193" customFormat="false" ht="14.25" hidden="false" customHeight="false" outlineLevel="0" collapsed="false">
      <c r="P193" s="109" t="n">
        <v>45931</v>
      </c>
      <c r="Q193" s="0" t="n">
        <v>319.839901083</v>
      </c>
    </row>
    <row r="194" customFormat="false" ht="14.25" hidden="false" customHeight="false" outlineLevel="0" collapsed="false">
      <c r="P194" s="109" t="n">
        <v>45962</v>
      </c>
      <c r="Q194" s="0" t="n">
        <v>320.592808393</v>
      </c>
    </row>
    <row r="195" customFormat="false" ht="14.25" hidden="false" customHeight="false" outlineLevel="0" collapsed="false">
      <c r="P195" s="109" t="n">
        <v>45992</v>
      </c>
      <c r="Q195" s="0" t="n">
        <v>320.966361836</v>
      </c>
    </row>
    <row r="196" customFormat="false" ht="14.25" hidden="false" customHeight="false" outlineLevel="0" collapsed="false">
      <c r="P196" s="109" t="n">
        <v>46023</v>
      </c>
      <c r="Q196" s="0" t="n">
        <v>322.082551268</v>
      </c>
    </row>
    <row r="197" customFormat="false" ht="14.25" hidden="false" customHeight="false" outlineLevel="0" collapsed="false">
      <c r="P197" s="109" t="n">
        <v>46054</v>
      </c>
      <c r="Q197" s="0" t="n">
        <v>323.110952095</v>
      </c>
    </row>
    <row r="198" customFormat="false" ht="14.25" hidden="false" customHeight="false" outlineLevel="0" collapsed="false">
      <c r="P198" s="109" t="n">
        <v>46082</v>
      </c>
      <c r="Q198" s="0" t="n">
        <v>324.148528358</v>
      </c>
    </row>
    <row r="199" customFormat="false" ht="14.25" hidden="false" customHeight="false" outlineLevel="0" collapsed="false">
      <c r="P199" s="109" t="n">
        <v>46113</v>
      </c>
      <c r="Q199" s="0" t="n">
        <v>325.657331625</v>
      </c>
    </row>
    <row r="200" customFormat="false" ht="14.25" hidden="false" customHeight="false" outlineLevel="0" collapsed="false">
      <c r="P200" s="109" t="n">
        <v>46143</v>
      </c>
      <c r="Q200" s="0" t="n">
        <v>326.667363349</v>
      </c>
    </row>
    <row r="201" customFormat="false" ht="14.25" hidden="false" customHeight="false" outlineLevel="0" collapsed="false">
      <c r="P201" s="109" t="n">
        <v>46174</v>
      </c>
      <c r="Q201" s="0" t="n">
        <v>328.131161652</v>
      </c>
    </row>
    <row r="202" customFormat="false" ht="14.25" hidden="false" customHeight="false" outlineLevel="0" collapsed="false">
      <c r="P202" s="109" t="n">
        <v>46204</v>
      </c>
      <c r="Q202" s="0" t="n">
        <v>328.579625327</v>
      </c>
    </row>
    <row r="203" customFormat="false" ht="14.25" hidden="false" customHeight="false" outlineLevel="0" collapsed="false">
      <c r="P203" s="109" t="n">
        <v>46235</v>
      </c>
      <c r="Q203" s="0" t="n">
        <v>329.793928018</v>
      </c>
    </row>
    <row r="204" customFormat="false" ht="14.25" hidden="false" customHeight="false" outlineLevel="0" collapsed="false">
      <c r="P204" s="109" t="n">
        <v>46266</v>
      </c>
      <c r="Q204" s="0" t="n">
        <v>330.137057538</v>
      </c>
    </row>
    <row r="205" customFormat="false" ht="14.25" hidden="false" customHeight="false" outlineLevel="0" collapsed="false">
      <c r="P205" s="109" t="n">
        <v>46296</v>
      </c>
      <c r="Q205" s="0" t="n">
        <v>331.420065551</v>
      </c>
    </row>
    <row r="206" customFormat="false" ht="14.25" hidden="false" customHeight="false" outlineLevel="0" collapsed="false">
      <c r="P206" s="109" t="n">
        <v>46327</v>
      </c>
      <c r="Q206" s="0" t="n">
        <v>333.015383216</v>
      </c>
    </row>
    <row r="207" customFormat="false" ht="14.25" hidden="false" customHeight="false" outlineLevel="0" collapsed="false">
      <c r="P207" s="109" t="n">
        <v>46357</v>
      </c>
      <c r="Q207" s="0" t="n">
        <v>333.922064808</v>
      </c>
    </row>
    <row r="208" customFormat="false" ht="14.25" hidden="false" customHeight="false" outlineLevel="0" collapsed="false">
      <c r="P208" s="109" t="n">
        <v>46388</v>
      </c>
      <c r="Q208" s="0" t="n">
        <v>335.511442844</v>
      </c>
    </row>
    <row r="209" customFormat="false" ht="14.25" hidden="false" customHeight="false" outlineLevel="0" collapsed="false">
      <c r="P209" s="109" t="n">
        <v>46419</v>
      </c>
      <c r="Q209" s="0" t="n">
        <v>337.307024985</v>
      </c>
    </row>
    <row r="210" customFormat="false" ht="14.25" hidden="false" customHeight="false" outlineLevel="0" collapsed="false">
      <c r="P210" s="109" t="n">
        <v>46447</v>
      </c>
      <c r="Q210" s="0" t="n">
        <v>339.11221668</v>
      </c>
    </row>
    <row r="211" customFormat="false" ht="14.25" hidden="false" customHeight="false" outlineLevel="0" collapsed="false">
      <c r="P211" s="109" t="n">
        <v>46478</v>
      </c>
      <c r="Q211" s="0" t="n">
        <v>340.927069359</v>
      </c>
    </row>
    <row r="212" customFormat="false" ht="14.25" hidden="false" customHeight="false" outlineLevel="0" collapsed="false">
      <c r="P212" s="109" t="n">
        <v>46508</v>
      </c>
      <c r="Q212" s="0" t="n">
        <v>342.751634723</v>
      </c>
    </row>
    <row r="213" customFormat="false" ht="14.25" hidden="false" customHeight="false" outlineLevel="0" collapsed="false">
      <c r="P213" s="109" t="n">
        <v>46539</v>
      </c>
      <c r="Q213" s="0" t="n">
        <v>344.585964753</v>
      </c>
    </row>
    <row r="214" customFormat="false" ht="14.25" hidden="false" customHeight="false" outlineLevel="0" collapsed="false">
      <c r="P214" s="109" t="n">
        <v>46569</v>
      </c>
      <c r="Q214" s="0" t="n">
        <v>346.430111707</v>
      </c>
    </row>
    <row r="215" customFormat="false" ht="14.25" hidden="false" customHeight="false" outlineLevel="0" collapsed="false">
      <c r="P215" s="109" t="n">
        <v>46600</v>
      </c>
      <c r="Q215" s="0" t="n">
        <v>348.284128122</v>
      </c>
    </row>
    <row r="216" customFormat="false" ht="14.25" hidden="false" customHeight="false" outlineLevel="0" collapsed="false">
      <c r="P216" s="109" t="n">
        <v>46631</v>
      </c>
      <c r="Q216" s="0" t="n">
        <v>350.148066819</v>
      </c>
    </row>
    <row r="217" customFormat="false" ht="14.25" hidden="false" customHeight="false" outlineLevel="0" collapsed="false">
      <c r="P217" s="109" t="n">
        <v>46661</v>
      </c>
      <c r="Q217" s="0" t="n">
        <v>352.021980898</v>
      </c>
    </row>
    <row r="218" customFormat="false" ht="14.25" hidden="false" customHeight="false" outlineLevel="0" collapsed="false">
      <c r="P218" s="109" t="n">
        <v>46692</v>
      </c>
      <c r="Q218" s="0" t="n">
        <v>353.905923747</v>
      </c>
    </row>
    <row r="219" customFormat="false" ht="14.25" hidden="false" customHeight="false" outlineLevel="0" collapsed="false">
      <c r="P219" s="109" t="n">
        <v>46722</v>
      </c>
      <c r="Q219" s="0" t="n">
        <v>355.799949035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68" activePane="bottomLeft" state="frozen"/>
      <selection pane="topLeft" activeCell="A1" activeCellId="0" sqref="A1"/>
      <selection pane="bottomLeft" activeCell="E233" activeCellId="0" sqref="E23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0.1"/>
    <col collapsed="false" customWidth="true" hidden="false" outlineLevel="0" max="2" min="2" style="58" width="9.09"/>
    <col collapsed="false" customWidth="true" hidden="false" outlineLevel="0" max="4" min="4" style="0" width="9.09"/>
    <col collapsed="false" customWidth="true" hidden="false" outlineLevel="0" max="5" min="5" style="0" width="11.7"/>
    <col collapsed="false" customWidth="true" hidden="false" outlineLevel="0" max="29" min="6" style="0" width="10.7"/>
  </cols>
  <sheetData>
    <row r="1" customFormat="false" ht="14.25" hidden="false" customHeight="false" outlineLevel="0" collapsed="false">
      <c r="A1" s="108" t="s">
        <v>43</v>
      </c>
      <c r="B1" s="58" t="s">
        <v>45</v>
      </c>
    </row>
    <row r="2" customFormat="false" ht="14.25" hidden="false" customHeight="false" outlineLevel="0" collapsed="false">
      <c r="A2" s="109" t="n">
        <v>40148</v>
      </c>
      <c r="B2" s="58" t="n">
        <v>100</v>
      </c>
    </row>
    <row r="3" customFormat="false" ht="16.4" hidden="false" customHeight="false" outlineLevel="0" collapsed="false">
      <c r="A3" s="109" t="n">
        <v>40179</v>
      </c>
      <c r="B3" s="112" t="n">
        <v>101.49</v>
      </c>
      <c r="F3" s="109" t="n">
        <v>40148</v>
      </c>
      <c r="G3" s="0" t="n">
        <v>100.243891046</v>
      </c>
    </row>
    <row r="4" customFormat="false" ht="16.4" hidden="false" customHeight="false" outlineLevel="0" collapsed="false">
      <c r="A4" s="109" t="n">
        <v>40210</v>
      </c>
      <c r="B4" s="112" t="n">
        <v>102.70788</v>
      </c>
      <c r="F4" s="109" t="n">
        <v>40179</v>
      </c>
      <c r="G4" s="0" t="n">
        <v>101.420712306</v>
      </c>
    </row>
    <row r="5" customFormat="false" ht="16.4" hidden="false" customHeight="false" outlineLevel="0" collapsed="false">
      <c r="A5" s="109" t="n">
        <v>40238</v>
      </c>
      <c r="B5" s="112" t="n">
        <v>103.652792496</v>
      </c>
      <c r="F5" s="109" t="n">
        <v>40210</v>
      </c>
      <c r="G5" s="0" t="n">
        <v>102.410136588</v>
      </c>
    </row>
    <row r="6" customFormat="false" ht="16.4" hidden="false" customHeight="false" outlineLevel="0" collapsed="false">
      <c r="A6" s="109" t="n">
        <v>40269</v>
      </c>
      <c r="B6" s="112" t="n">
        <v>104.264343971726</v>
      </c>
      <c r="F6" s="109" t="n">
        <v>40238</v>
      </c>
      <c r="G6" s="0" t="n">
        <v>103.177395672</v>
      </c>
    </row>
    <row r="7" customFormat="false" ht="16.4" hidden="false" customHeight="false" outlineLevel="0" collapsed="false">
      <c r="A7" s="109" t="n">
        <v>40299</v>
      </c>
      <c r="B7" s="112" t="n">
        <v>104.931635773146</v>
      </c>
      <c r="F7" s="109" t="n">
        <v>40269</v>
      </c>
      <c r="G7" s="0" t="n">
        <v>103.564847157</v>
      </c>
    </row>
    <row r="8" customFormat="false" ht="16.4" hidden="false" customHeight="false" outlineLevel="0" collapsed="false">
      <c r="A8" s="109" t="n">
        <v>40330</v>
      </c>
      <c r="B8" s="112" t="n">
        <v>105.697636714289</v>
      </c>
      <c r="F8" s="109" t="n">
        <v>40299</v>
      </c>
      <c r="G8" s="0" t="n">
        <v>104.226097418</v>
      </c>
    </row>
    <row r="9" customFormat="false" ht="16.4" hidden="false" customHeight="false" outlineLevel="0" collapsed="false">
      <c r="A9" s="109" t="n">
        <v>40360</v>
      </c>
      <c r="B9" s="112" t="n">
        <v>105.179718294389</v>
      </c>
      <c r="F9" s="109" t="n">
        <v>40330</v>
      </c>
      <c r="G9" s="0" t="n">
        <v>105.398960113</v>
      </c>
    </row>
    <row r="10" customFormat="false" ht="16.4" hidden="false" customHeight="false" outlineLevel="0" collapsed="false">
      <c r="A10" s="109" t="n">
        <v>40391</v>
      </c>
      <c r="B10" s="112" t="n">
        <v>105.684580942203</v>
      </c>
      <c r="F10" s="109" t="n">
        <v>40360</v>
      </c>
      <c r="G10" s="0" t="n">
        <v>105.220995347</v>
      </c>
    </row>
    <row r="11" customFormat="false" ht="16.4" hidden="false" customHeight="false" outlineLevel="0" collapsed="false">
      <c r="A11" s="109" t="n">
        <v>40422</v>
      </c>
      <c r="B11" s="112" t="n">
        <v>108.104757845779</v>
      </c>
      <c r="F11" s="109" t="n">
        <v>40391</v>
      </c>
      <c r="G11" s="0" t="n">
        <v>106.29370065</v>
      </c>
    </row>
    <row r="12" customFormat="false" ht="16.4" hidden="false" customHeight="false" outlineLevel="0" collapsed="false">
      <c r="A12" s="109" t="n">
        <v>40452</v>
      </c>
      <c r="B12" s="112" t="n">
        <v>108.645281635008</v>
      </c>
      <c r="F12" s="109" t="n">
        <v>40422</v>
      </c>
      <c r="G12" s="0" t="n">
        <v>108.73083968</v>
      </c>
    </row>
    <row r="13" customFormat="false" ht="16.4" hidden="false" customHeight="false" outlineLevel="0" collapsed="false">
      <c r="A13" s="109" t="n">
        <v>40483</v>
      </c>
      <c r="B13" s="112" t="n">
        <v>109.64481822605</v>
      </c>
      <c r="F13" s="109" t="n">
        <v>40452</v>
      </c>
      <c r="G13" s="0" t="n">
        <v>109.248236946</v>
      </c>
    </row>
    <row r="14" customFormat="false" ht="16.4" hidden="false" customHeight="false" outlineLevel="0" collapsed="false">
      <c r="A14" s="109" t="n">
        <v>40513</v>
      </c>
      <c r="B14" s="112" t="n">
        <v>111.366241872199</v>
      </c>
      <c r="F14" s="109" t="n">
        <v>40483</v>
      </c>
      <c r="G14" s="0" t="n">
        <v>110.166927264</v>
      </c>
    </row>
    <row r="15" customFormat="false" ht="16.4" hidden="false" customHeight="false" outlineLevel="0" collapsed="false">
      <c r="A15" s="109" t="n">
        <v>40544</v>
      </c>
      <c r="B15" s="112" t="n">
        <v>114.039031677132</v>
      </c>
      <c r="F15" s="109" t="n">
        <v>40513</v>
      </c>
      <c r="G15" s="0" t="n">
        <v>111.637182816</v>
      </c>
    </row>
    <row r="16" customFormat="false" ht="16.4" hidden="false" customHeight="false" outlineLevel="0" collapsed="false">
      <c r="A16" s="109" t="n">
        <v>40575</v>
      </c>
      <c r="B16" s="112" t="n">
        <v>115.247845412909</v>
      </c>
      <c r="F16" s="109" t="n">
        <v>40544</v>
      </c>
      <c r="G16" s="0" t="n">
        <v>113.962491699</v>
      </c>
    </row>
    <row r="17" customFormat="false" ht="16.4" hidden="false" customHeight="false" outlineLevel="0" collapsed="false">
      <c r="A17" s="109" t="n">
        <v>40603</v>
      </c>
      <c r="B17" s="112" t="n">
        <v>116.538621281534</v>
      </c>
      <c r="F17" s="109" t="n">
        <v>40575</v>
      </c>
      <c r="G17" s="0" t="n">
        <v>114.915621732</v>
      </c>
    </row>
    <row r="18" customFormat="false" ht="16.4" hidden="false" customHeight="false" outlineLevel="0" collapsed="false">
      <c r="A18" s="109" t="n">
        <v>40634</v>
      </c>
      <c r="B18" s="112" t="n">
        <v>117.237853009223</v>
      </c>
      <c r="F18" s="109" t="n">
        <v>40603</v>
      </c>
      <c r="G18" s="0" t="n">
        <v>116.005999082</v>
      </c>
    </row>
    <row r="19" customFormat="false" ht="16.4" hidden="false" customHeight="false" outlineLevel="0" collapsed="false">
      <c r="A19" s="109" t="n">
        <v>40664</v>
      </c>
      <c r="B19" s="112" t="n">
        <v>117.601290353552</v>
      </c>
      <c r="F19" s="109" t="n">
        <v>40634</v>
      </c>
      <c r="G19" s="0" t="n">
        <v>116.451508822</v>
      </c>
    </row>
    <row r="20" customFormat="false" ht="16.4" hidden="false" customHeight="false" outlineLevel="0" collapsed="false">
      <c r="A20" s="109" t="n">
        <v>40695</v>
      </c>
      <c r="B20" s="112" t="n">
        <v>116.883922482395</v>
      </c>
      <c r="F20" s="109" t="n">
        <v>40664</v>
      </c>
      <c r="G20" s="0" t="n">
        <v>116.809975275</v>
      </c>
    </row>
    <row r="21" customFormat="false" ht="16.4" hidden="false" customHeight="false" outlineLevel="0" collapsed="false">
      <c r="A21" s="109" t="n">
        <v>40725</v>
      </c>
      <c r="B21" s="112" t="n">
        <v>116.837168913402</v>
      </c>
      <c r="F21" s="109" t="n">
        <v>40695</v>
      </c>
      <c r="G21" s="0" t="n">
        <v>116.553108637</v>
      </c>
    </row>
    <row r="22" customFormat="false" ht="16.4" hidden="false" customHeight="false" outlineLevel="0" collapsed="false">
      <c r="A22" s="109" t="n">
        <v>40756</v>
      </c>
      <c r="B22" s="112" t="n">
        <v>116.626862009358</v>
      </c>
      <c r="F22" s="109" t="n">
        <v>40725</v>
      </c>
      <c r="G22" s="0" t="n">
        <v>116.878989305</v>
      </c>
    </row>
    <row r="23" customFormat="false" ht="16.4" hidden="false" customHeight="false" outlineLevel="0" collapsed="false">
      <c r="A23" s="109" t="n">
        <v>40787</v>
      </c>
      <c r="B23" s="112" t="n">
        <v>117.536551533031</v>
      </c>
      <c r="F23" s="109" t="n">
        <v>40756</v>
      </c>
      <c r="G23" s="0" t="n">
        <v>117.295005707</v>
      </c>
    </row>
    <row r="24" customFormat="false" ht="16.4" hidden="false" customHeight="false" outlineLevel="0" collapsed="false">
      <c r="A24" s="109" t="n">
        <v>40817</v>
      </c>
      <c r="B24" s="112" t="n">
        <v>117.92442215309</v>
      </c>
      <c r="F24" s="109" t="n">
        <v>40787</v>
      </c>
      <c r="G24" s="0" t="n">
        <v>118.217327016</v>
      </c>
    </row>
    <row r="25" customFormat="false" ht="16.4" hidden="false" customHeight="false" outlineLevel="0" collapsed="false">
      <c r="A25" s="109" t="n">
        <v>40848</v>
      </c>
      <c r="B25" s="112" t="n">
        <v>118.466874494994</v>
      </c>
      <c r="F25" s="109" t="n">
        <v>40817</v>
      </c>
      <c r="G25" s="0" t="n">
        <v>118.577218857</v>
      </c>
    </row>
    <row r="26" customFormat="false" ht="16.4" hidden="false" customHeight="false" outlineLevel="0" collapsed="false">
      <c r="A26" s="109" t="n">
        <v>40878</v>
      </c>
      <c r="B26" s="112" t="n">
        <v>118.845968493378</v>
      </c>
      <c r="F26" s="109" t="n">
        <v>40848</v>
      </c>
      <c r="G26" s="0" t="n">
        <v>119.028609131</v>
      </c>
    </row>
    <row r="27" customFormat="false" ht="16.4" hidden="false" customHeight="false" outlineLevel="0" collapsed="false">
      <c r="A27" s="109" t="n">
        <v>40909</v>
      </c>
      <c r="B27" s="112" t="n">
        <v>119.238160189406</v>
      </c>
      <c r="F27" s="109" t="n">
        <v>40878</v>
      </c>
      <c r="G27" s="0" t="n">
        <v>119.134118469</v>
      </c>
    </row>
    <row r="28" customFormat="false" ht="16.4" hidden="false" customHeight="false" outlineLevel="0" collapsed="false">
      <c r="A28" s="109" t="n">
        <v>40940</v>
      </c>
      <c r="B28" s="112" t="n">
        <v>120.454389423338</v>
      </c>
      <c r="F28" s="109" t="n">
        <v>40909</v>
      </c>
      <c r="G28" s="0" t="n">
        <v>119.162432073</v>
      </c>
    </row>
    <row r="29" customFormat="false" ht="16.4" hidden="false" customHeight="false" outlineLevel="0" collapsed="false">
      <c r="A29" s="109" t="n">
        <v>40969</v>
      </c>
      <c r="B29" s="112" t="n">
        <v>121.273479271417</v>
      </c>
      <c r="F29" s="109" t="n">
        <v>40940</v>
      </c>
      <c r="G29" s="0" t="n">
        <v>120.112799109</v>
      </c>
    </row>
    <row r="30" customFormat="false" ht="16.4" hidden="false" customHeight="false" outlineLevel="0" collapsed="false">
      <c r="A30" s="109" t="n">
        <v>41000</v>
      </c>
      <c r="B30" s="112" t="n">
        <v>121.782827884357</v>
      </c>
      <c r="F30" s="109" t="n">
        <v>40969</v>
      </c>
      <c r="G30" s="0" t="n">
        <v>120.725281427</v>
      </c>
    </row>
    <row r="31" customFormat="false" ht="16.4" hidden="false" customHeight="false" outlineLevel="0" collapsed="false">
      <c r="A31" s="109" t="n">
        <v>41030</v>
      </c>
      <c r="B31" s="112" t="n">
        <v>123.39036121243</v>
      </c>
      <c r="F31" s="109" t="n">
        <v>41000</v>
      </c>
      <c r="G31" s="0" t="n">
        <v>120.969106125</v>
      </c>
    </row>
    <row r="32" customFormat="false" ht="16.4" hidden="false" customHeight="false" outlineLevel="0" collapsed="false">
      <c r="A32" s="109" t="n">
        <v>41061</v>
      </c>
      <c r="B32" s="112" t="n">
        <v>124.069008199099</v>
      </c>
      <c r="F32" s="109" t="n">
        <v>41030</v>
      </c>
      <c r="G32" s="0" t="n">
        <v>122.561627257</v>
      </c>
    </row>
    <row r="33" customFormat="false" ht="16.4" hidden="false" customHeight="false" outlineLevel="0" collapsed="false">
      <c r="A33" s="109" t="n">
        <v>41091</v>
      </c>
      <c r="B33" s="112" t="n">
        <v>126.066519231104</v>
      </c>
      <c r="F33" s="109" t="n">
        <v>41061</v>
      </c>
      <c r="G33" s="0" t="n">
        <v>123.717458166</v>
      </c>
    </row>
    <row r="34" customFormat="false" ht="16.4" hidden="false" customHeight="false" outlineLevel="0" collapsed="false">
      <c r="A34" s="109" t="n">
        <v>41122</v>
      </c>
      <c r="B34" s="112" t="n">
        <v>126.167372446489</v>
      </c>
      <c r="F34" s="109" t="n">
        <v>41091</v>
      </c>
      <c r="G34" s="0" t="n">
        <v>126.106639663</v>
      </c>
    </row>
    <row r="35" customFormat="false" ht="16.4" hidden="false" customHeight="false" outlineLevel="0" collapsed="false">
      <c r="A35" s="109" t="n">
        <v>41153</v>
      </c>
      <c r="B35" s="112" t="n">
        <v>126.697275410764</v>
      </c>
      <c r="F35" s="109" t="n">
        <v>41122</v>
      </c>
      <c r="G35" s="0" t="n">
        <v>126.884724087</v>
      </c>
    </row>
    <row r="36" customFormat="false" ht="16.4" hidden="false" customHeight="false" outlineLevel="0" collapsed="false">
      <c r="A36" s="109" t="n">
        <v>41183</v>
      </c>
      <c r="B36" s="112" t="n">
        <v>127.280082877654</v>
      </c>
      <c r="F36" s="109" t="n">
        <v>41153</v>
      </c>
      <c r="G36" s="0" t="n">
        <v>127.431704885</v>
      </c>
    </row>
    <row r="37" customFormat="false" ht="16.4" hidden="false" customHeight="false" outlineLevel="0" collapsed="false">
      <c r="A37" s="109" t="n">
        <v>41214</v>
      </c>
      <c r="B37" s="112" t="n">
        <v>128.171043457798</v>
      </c>
      <c r="F37" s="109" t="n">
        <v>41183</v>
      </c>
      <c r="G37" s="0" t="n">
        <v>127.982547989</v>
      </c>
    </row>
    <row r="38" customFormat="false" ht="16.4" hidden="false" customHeight="false" outlineLevel="0" collapsed="false">
      <c r="A38" s="109" t="n">
        <v>41244</v>
      </c>
      <c r="B38" s="112" t="n">
        <v>129.247680222843</v>
      </c>
      <c r="F38" s="109" t="n">
        <v>41214</v>
      </c>
      <c r="G38" s="0" t="n">
        <v>128.775600273</v>
      </c>
    </row>
    <row r="39" customFormat="false" ht="16.4" hidden="false" customHeight="false" outlineLevel="0" collapsed="false">
      <c r="A39" s="109" t="n">
        <v>41275</v>
      </c>
      <c r="B39" s="112" t="n">
        <v>130.204113056492</v>
      </c>
      <c r="F39" s="109" t="n">
        <v>41244</v>
      </c>
      <c r="G39" s="0" t="n">
        <v>129.558198788</v>
      </c>
    </row>
    <row r="40" customFormat="false" ht="16.4" hidden="false" customHeight="false" outlineLevel="0" collapsed="false">
      <c r="A40" s="109" t="n">
        <v>41306</v>
      </c>
      <c r="B40" s="112" t="n">
        <v>130.86815403308</v>
      </c>
      <c r="F40" s="109" t="n">
        <v>41275</v>
      </c>
      <c r="G40" s="0" t="n">
        <v>130.123623444</v>
      </c>
    </row>
    <row r="41" customFormat="false" ht="16.4" hidden="false" customHeight="false" outlineLevel="0" collapsed="false">
      <c r="A41" s="109" t="n">
        <v>41334</v>
      </c>
      <c r="B41" s="112" t="n">
        <v>131.522494803246</v>
      </c>
      <c r="F41" s="109" t="n">
        <v>41306</v>
      </c>
      <c r="G41" s="0" t="n">
        <v>130.50104938</v>
      </c>
    </row>
    <row r="42" customFormat="false" ht="16.4" hidden="false" customHeight="false" outlineLevel="0" collapsed="false">
      <c r="A42" s="109" t="n">
        <v>41365</v>
      </c>
      <c r="B42" s="112" t="n">
        <v>133.166525988286</v>
      </c>
      <c r="F42" s="109" t="n">
        <v>41334</v>
      </c>
      <c r="G42" s="0" t="n">
        <v>130.93228499</v>
      </c>
    </row>
    <row r="43" customFormat="false" ht="16.4" hidden="false" customHeight="false" outlineLevel="0" collapsed="false">
      <c r="A43" s="109" t="n">
        <v>41395</v>
      </c>
      <c r="B43" s="112" t="n">
        <v>135.084123962517</v>
      </c>
      <c r="F43" s="109" t="n">
        <v>41365</v>
      </c>
      <c r="G43" s="0" t="n">
        <v>132.276840865</v>
      </c>
    </row>
    <row r="44" customFormat="false" ht="16.4" hidden="false" customHeight="false" outlineLevel="0" collapsed="false">
      <c r="A44" s="109" t="n">
        <v>41426</v>
      </c>
      <c r="B44" s="112" t="n">
        <v>135.205699674084</v>
      </c>
      <c r="F44" s="109" t="n">
        <v>41395</v>
      </c>
      <c r="G44" s="0" t="n">
        <v>134.17747848</v>
      </c>
    </row>
    <row r="45" customFormat="false" ht="16.4" hidden="false" customHeight="false" outlineLevel="0" collapsed="false">
      <c r="A45" s="109" t="n">
        <v>41456</v>
      </c>
      <c r="B45" s="112" t="n">
        <v>135.989892732193</v>
      </c>
      <c r="F45" s="109" t="n">
        <v>41426</v>
      </c>
      <c r="G45" s="0" t="n">
        <v>134.821848865</v>
      </c>
    </row>
    <row r="46" customFormat="false" ht="16.4" hidden="false" customHeight="false" outlineLevel="0" collapsed="false">
      <c r="A46" s="109" t="n">
        <v>41487</v>
      </c>
      <c r="B46" s="112" t="n">
        <v>135.473131139811</v>
      </c>
      <c r="F46" s="109" t="n">
        <v>41456</v>
      </c>
      <c r="G46" s="0" t="n">
        <v>136.031376227</v>
      </c>
    </row>
    <row r="47" customFormat="false" ht="16.4" hidden="false" customHeight="false" outlineLevel="0" collapsed="false">
      <c r="A47" s="109" t="n">
        <v>41518</v>
      </c>
      <c r="B47" s="112" t="n">
        <v>135.703435462749</v>
      </c>
      <c r="F47" s="109" t="n">
        <v>41487</v>
      </c>
      <c r="G47" s="0" t="n">
        <v>136.240801625</v>
      </c>
    </row>
    <row r="48" customFormat="false" ht="16.4" hidden="false" customHeight="false" outlineLevel="0" collapsed="false">
      <c r="A48" s="109" t="n">
        <v>41548</v>
      </c>
      <c r="B48" s="112" t="n">
        <v>137.101180848015</v>
      </c>
      <c r="F48" s="109" t="n">
        <v>41518</v>
      </c>
      <c r="G48" s="0" t="n">
        <v>136.492918632</v>
      </c>
    </row>
    <row r="49" customFormat="false" ht="16.4" hidden="false" customHeight="false" outlineLevel="0" collapsed="false">
      <c r="A49" s="109" t="n">
        <v>41579</v>
      </c>
      <c r="B49" s="112" t="n">
        <v>137.964918287358</v>
      </c>
      <c r="F49" s="109" t="n">
        <v>41548</v>
      </c>
      <c r="G49" s="0" t="n">
        <v>137.857033126</v>
      </c>
    </row>
    <row r="50" customFormat="false" ht="16.4" hidden="false" customHeight="false" outlineLevel="0" collapsed="false">
      <c r="A50" s="109" t="n">
        <v>41609</v>
      </c>
      <c r="B50" s="112" t="n">
        <v>138.930672715369</v>
      </c>
      <c r="F50" s="109" t="n">
        <v>41579</v>
      </c>
      <c r="G50" s="0" t="n">
        <v>138.613268983</v>
      </c>
    </row>
    <row r="51" customFormat="false" ht="16.4" hidden="false" customHeight="false" outlineLevel="0" collapsed="false">
      <c r="A51" s="109" t="n">
        <v>41640</v>
      </c>
      <c r="B51" s="112" t="n">
        <v>139.152961791714</v>
      </c>
      <c r="F51" s="109" t="n">
        <v>41609</v>
      </c>
      <c r="G51" s="0" t="n">
        <v>139.261985512</v>
      </c>
    </row>
    <row r="52" customFormat="false" ht="16.4" hidden="false" customHeight="false" outlineLevel="0" collapsed="false">
      <c r="A52" s="109" t="n">
        <v>41671</v>
      </c>
      <c r="B52" s="112" t="n">
        <v>140.015710154822</v>
      </c>
      <c r="F52" s="109" t="n">
        <v>41640</v>
      </c>
      <c r="G52" s="0" t="n">
        <v>139.068289932</v>
      </c>
    </row>
    <row r="53" customFormat="false" ht="16.4" hidden="false" customHeight="false" outlineLevel="0" collapsed="false">
      <c r="A53" s="109" t="n">
        <v>41699</v>
      </c>
      <c r="B53" s="112" t="n">
        <v>141.359860972309</v>
      </c>
      <c r="F53" s="109" t="n">
        <v>41671</v>
      </c>
      <c r="G53" s="0" t="n">
        <v>139.625057252</v>
      </c>
    </row>
    <row r="54" customFormat="false" ht="16.4" hidden="false" customHeight="false" outlineLevel="0" collapsed="false">
      <c r="A54" s="109" t="n">
        <v>41730</v>
      </c>
      <c r="B54" s="112" t="n">
        <v>142.250428096434</v>
      </c>
      <c r="F54" s="109" t="n">
        <v>41699</v>
      </c>
      <c r="G54" s="0" t="n">
        <v>140.727075409</v>
      </c>
    </row>
    <row r="55" customFormat="false" ht="16.4" hidden="false" customHeight="false" outlineLevel="0" collapsed="false">
      <c r="A55" s="109" t="n">
        <v>41760</v>
      </c>
      <c r="B55" s="112" t="n">
        <v>143.175055879061</v>
      </c>
      <c r="F55" s="109" t="n">
        <v>41730</v>
      </c>
      <c r="G55" s="0" t="n">
        <v>141.297960054</v>
      </c>
    </row>
    <row r="56" customFormat="false" ht="16.4" hidden="false" customHeight="false" outlineLevel="0" collapsed="false">
      <c r="A56" s="109" t="n">
        <v>41791</v>
      </c>
      <c r="B56" s="112" t="n">
        <v>143.189373384649</v>
      </c>
      <c r="F56" s="109" t="n">
        <v>41760</v>
      </c>
      <c r="G56" s="0" t="n">
        <v>142.215804701</v>
      </c>
    </row>
    <row r="57" customFormat="false" ht="16.4" hidden="false" customHeight="false" outlineLevel="0" collapsed="false">
      <c r="A57" s="109" t="n">
        <v>41821</v>
      </c>
      <c r="B57" s="112" t="n">
        <v>143.160735509972</v>
      </c>
      <c r="F57" s="109" t="n">
        <v>41791</v>
      </c>
      <c r="G57" s="0" t="n">
        <v>142.782912165</v>
      </c>
    </row>
    <row r="58" customFormat="false" ht="16.4" hidden="false" customHeight="false" outlineLevel="0" collapsed="false">
      <c r="A58" s="109" t="n">
        <v>41852</v>
      </c>
      <c r="B58" s="112" t="n">
        <v>143.762010599114</v>
      </c>
      <c r="F58" s="109" t="n">
        <v>41821</v>
      </c>
      <c r="G58" s="0" t="n">
        <v>143.204830203</v>
      </c>
    </row>
    <row r="59" customFormat="false" ht="16.4" hidden="false" customHeight="false" outlineLevel="0" collapsed="false">
      <c r="A59" s="109" t="n">
        <v>41883</v>
      </c>
      <c r="B59" s="112" t="n">
        <v>145.515907128423</v>
      </c>
      <c r="F59" s="109" t="n">
        <v>41852</v>
      </c>
      <c r="G59" s="0" t="n">
        <v>144.574928202</v>
      </c>
    </row>
    <row r="60" customFormat="false" ht="16.4" hidden="false" customHeight="false" outlineLevel="0" collapsed="false">
      <c r="A60" s="109" t="n">
        <v>41913</v>
      </c>
      <c r="B60" s="112" t="n">
        <v>146.389002571194</v>
      </c>
      <c r="F60" s="109" t="n">
        <v>41883</v>
      </c>
      <c r="G60" s="0" t="n">
        <v>146.365761727</v>
      </c>
    </row>
    <row r="61" customFormat="false" ht="16.4" hidden="false" customHeight="false" outlineLevel="0" collapsed="false">
      <c r="A61" s="109" t="n">
        <v>41944</v>
      </c>
      <c r="B61" s="112" t="n">
        <v>147.823614796391</v>
      </c>
      <c r="F61" s="109" t="n">
        <v>41913</v>
      </c>
      <c r="G61" s="0" t="n">
        <v>147.196578356</v>
      </c>
    </row>
    <row r="62" customFormat="false" ht="16.4" hidden="false" customHeight="false" outlineLevel="0" collapsed="false">
      <c r="A62" s="109" t="n">
        <v>41974</v>
      </c>
      <c r="B62" s="112" t="n">
        <v>150.691392923441</v>
      </c>
      <c r="F62" s="109" t="n">
        <v>41944</v>
      </c>
      <c r="G62" s="0" t="n">
        <v>148.5174853</v>
      </c>
    </row>
    <row r="63" customFormat="false" ht="16.4" hidden="false" customHeight="false" outlineLevel="0" collapsed="false">
      <c r="A63" s="109" t="n">
        <v>42005</v>
      </c>
      <c r="B63" s="112" t="n">
        <v>156.884809172595</v>
      </c>
      <c r="F63" s="109" t="n">
        <v>41974</v>
      </c>
      <c r="G63" s="0" t="n">
        <v>151.050047526</v>
      </c>
    </row>
    <row r="64" customFormat="false" ht="16.4" hidden="false" customHeight="false" outlineLevel="0" collapsed="false">
      <c r="A64" s="109" t="n">
        <v>42036</v>
      </c>
      <c r="B64" s="112" t="n">
        <v>161.60704192869</v>
      </c>
      <c r="F64" s="109" t="n">
        <v>42005</v>
      </c>
      <c r="G64" s="0" t="n">
        <v>156.790459488</v>
      </c>
    </row>
    <row r="65" customFormat="false" ht="16.4" hidden="false" customHeight="false" outlineLevel="0" collapsed="false">
      <c r="A65" s="109" t="n">
        <v>42064</v>
      </c>
      <c r="B65" s="112" t="n">
        <v>164.709897133721</v>
      </c>
      <c r="F65" s="109" t="n">
        <v>42036</v>
      </c>
      <c r="G65" s="0" t="n">
        <v>161.157349449</v>
      </c>
    </row>
    <row r="66" customFormat="false" ht="16.4" hidden="false" customHeight="false" outlineLevel="0" collapsed="false">
      <c r="A66" s="109" t="n">
        <v>42095</v>
      </c>
      <c r="B66" s="112" t="n">
        <v>166.752299858179</v>
      </c>
      <c r="F66" s="109" t="n">
        <v>42064</v>
      </c>
      <c r="G66" s="0" t="n">
        <v>163.974323236</v>
      </c>
    </row>
    <row r="67" customFormat="false" ht="16.4" hidden="false" customHeight="false" outlineLevel="0" collapsed="false">
      <c r="A67" s="109" t="n">
        <v>42125</v>
      </c>
      <c r="B67" s="112" t="n">
        <v>167.369283367654</v>
      </c>
      <c r="F67" s="109" t="n">
        <v>42095</v>
      </c>
      <c r="G67" s="0" t="n">
        <v>165.632886432</v>
      </c>
    </row>
    <row r="68" customFormat="false" ht="16.4" hidden="false" customHeight="false" outlineLevel="0" collapsed="false">
      <c r="A68" s="109" t="n">
        <v>42156</v>
      </c>
      <c r="B68" s="112" t="n">
        <v>166.900649374225</v>
      </c>
      <c r="F68" s="109" t="n">
        <v>42125</v>
      </c>
      <c r="G68" s="0" t="n">
        <v>166.24977074</v>
      </c>
    </row>
    <row r="69" customFormat="false" ht="16.4" hidden="false" customHeight="false" outlineLevel="0" collapsed="false">
      <c r="A69" s="109" t="n">
        <v>42186</v>
      </c>
      <c r="B69" s="112" t="n">
        <v>167.45142151716</v>
      </c>
      <c r="F69" s="109" t="n">
        <v>42156</v>
      </c>
      <c r="G69" s="0" t="n">
        <v>166.424901577</v>
      </c>
    </row>
    <row r="70" customFormat="false" ht="16.4" hidden="false" customHeight="false" outlineLevel="0" collapsed="false">
      <c r="A70" s="109" t="n">
        <v>42217</v>
      </c>
      <c r="B70" s="112" t="n">
        <v>168.188207771835</v>
      </c>
      <c r="F70" s="109" t="n">
        <v>42186</v>
      </c>
      <c r="G70" s="0" t="n">
        <v>167.500131963</v>
      </c>
    </row>
    <row r="71" customFormat="false" ht="16.4" hidden="false" customHeight="false" outlineLevel="0" collapsed="false">
      <c r="A71" s="109" t="n">
        <v>42248</v>
      </c>
      <c r="B71" s="112" t="n">
        <v>169.870089849553</v>
      </c>
      <c r="F71" s="109" t="n">
        <v>42217</v>
      </c>
      <c r="G71" s="0" t="n">
        <v>169.134391773</v>
      </c>
    </row>
    <row r="72" customFormat="false" ht="16.4" hidden="false" customHeight="false" outlineLevel="0" collapsed="false">
      <c r="A72" s="109" t="n">
        <v>42278</v>
      </c>
      <c r="B72" s="112" t="n">
        <v>172.095388026583</v>
      </c>
      <c r="F72" s="109" t="n">
        <v>42248</v>
      </c>
      <c r="G72" s="0" t="n">
        <v>170.864458114</v>
      </c>
    </row>
    <row r="73" customFormat="false" ht="16.4" hidden="false" customHeight="false" outlineLevel="0" collapsed="false">
      <c r="A73" s="109" t="n">
        <v>42309</v>
      </c>
      <c r="B73" s="112" t="n">
        <v>172.646093268268</v>
      </c>
      <c r="F73" s="109" t="n">
        <v>42278</v>
      </c>
      <c r="G73" s="0" t="n">
        <v>173.043692039</v>
      </c>
    </row>
    <row r="74" customFormat="false" ht="16.4" hidden="false" customHeight="false" outlineLevel="0" collapsed="false">
      <c r="A74" s="109" t="n">
        <v>42339</v>
      </c>
      <c r="B74" s="112" t="n">
        <v>173.716499046531</v>
      </c>
      <c r="F74" s="109" t="n">
        <v>42309</v>
      </c>
      <c r="G74" s="0" t="n">
        <v>173.453426758</v>
      </c>
    </row>
    <row r="75" customFormat="false" ht="16.4" hidden="false" customHeight="false" outlineLevel="0" collapsed="false">
      <c r="A75" s="109" t="n">
        <v>42370</v>
      </c>
      <c r="B75" s="112" t="n">
        <v>175.088859388998</v>
      </c>
      <c r="F75" s="109" t="n">
        <v>42339</v>
      </c>
      <c r="G75" s="0" t="n">
        <v>174.130015854</v>
      </c>
    </row>
    <row r="76" customFormat="false" ht="16.4" hidden="false" customHeight="false" outlineLevel="0" collapsed="false">
      <c r="A76" s="109" t="n">
        <v>42401</v>
      </c>
      <c r="B76" s="112" t="n">
        <v>176.17441031721</v>
      </c>
      <c r="F76" s="109" t="n">
        <v>42370</v>
      </c>
      <c r="G76" s="0" t="n">
        <v>174.985384691</v>
      </c>
    </row>
    <row r="77" customFormat="false" ht="16.4" hidden="false" customHeight="false" outlineLevel="0" collapsed="false">
      <c r="A77" s="109" t="n">
        <v>42430</v>
      </c>
      <c r="B77" s="112" t="n">
        <v>176.614846343003</v>
      </c>
      <c r="F77" s="109" t="n">
        <v>42401</v>
      </c>
      <c r="G77" s="0" t="n">
        <v>175.686338849</v>
      </c>
    </row>
    <row r="78" customFormat="false" ht="16.4" hidden="false" customHeight="false" outlineLevel="0" collapsed="false">
      <c r="A78" s="109" t="n">
        <v>42461</v>
      </c>
      <c r="B78" s="112" t="n">
        <v>178.539948168142</v>
      </c>
      <c r="F78" s="109" t="n">
        <v>42430</v>
      </c>
      <c r="G78" s="0" t="n">
        <v>175.831734947</v>
      </c>
    </row>
    <row r="79" customFormat="false" ht="16.4" hidden="false" customHeight="false" outlineLevel="0" collapsed="false">
      <c r="A79" s="109" t="n">
        <v>42491</v>
      </c>
      <c r="B79" s="112" t="n">
        <v>178.914882059295</v>
      </c>
      <c r="F79" s="109" t="n">
        <v>42461</v>
      </c>
      <c r="G79" s="0" t="n">
        <v>177.342878356</v>
      </c>
    </row>
    <row r="80" customFormat="false" ht="16.4" hidden="false" customHeight="false" outlineLevel="0" collapsed="false">
      <c r="A80" s="109" t="n">
        <v>42522</v>
      </c>
      <c r="B80" s="112" t="n">
        <v>179.344277776237</v>
      </c>
      <c r="F80" s="109" t="n">
        <v>42491</v>
      </c>
      <c r="G80" s="0" t="n">
        <v>177.72210771</v>
      </c>
    </row>
    <row r="81" customFormat="false" ht="16.4" hidden="false" customHeight="false" outlineLevel="0" collapsed="false">
      <c r="A81" s="109" t="n">
        <v>42552</v>
      </c>
      <c r="B81" s="112" t="n">
        <v>180.438277870672</v>
      </c>
      <c r="F81" s="109" t="n">
        <v>42522</v>
      </c>
      <c r="G81" s="0" t="n">
        <v>178.829721077</v>
      </c>
    </row>
    <row r="82" customFormat="false" ht="16.4" hidden="false" customHeight="false" outlineLevel="0" collapsed="false">
      <c r="A82" s="109" t="n">
        <v>42583</v>
      </c>
      <c r="B82" s="112" t="n">
        <v>180.600672320756</v>
      </c>
      <c r="F82" s="109" t="n">
        <v>42552</v>
      </c>
      <c r="G82" s="0" t="n">
        <v>180.485556096</v>
      </c>
    </row>
    <row r="83" customFormat="false" ht="16.4" hidden="false" customHeight="false" outlineLevel="0" collapsed="false">
      <c r="A83" s="109" t="n">
        <v>42614</v>
      </c>
      <c r="B83" s="112" t="n">
        <v>180.365891446739</v>
      </c>
      <c r="F83" s="109" t="n">
        <v>42583</v>
      </c>
      <c r="G83" s="0" t="n">
        <v>181.610502891</v>
      </c>
    </row>
    <row r="84" customFormat="false" ht="16.4" hidden="false" customHeight="false" outlineLevel="0" collapsed="false">
      <c r="A84" s="109" t="n">
        <v>42644</v>
      </c>
      <c r="B84" s="112" t="n">
        <v>181.448086795419</v>
      </c>
      <c r="F84" s="109" t="n">
        <v>42614</v>
      </c>
      <c r="G84" s="0" t="n">
        <v>181.424497674</v>
      </c>
    </row>
    <row r="85" customFormat="false" ht="16.4" hidden="false" customHeight="false" outlineLevel="0" collapsed="false">
      <c r="A85" s="109" t="n">
        <v>42675</v>
      </c>
      <c r="B85" s="112" t="n">
        <v>181.974286247126</v>
      </c>
      <c r="F85" s="109" t="n">
        <v>42644</v>
      </c>
      <c r="G85" s="0" t="n">
        <v>182.449469654</v>
      </c>
    </row>
    <row r="86" customFormat="false" ht="16.4" hidden="false" customHeight="false" outlineLevel="0" collapsed="false">
      <c r="A86" s="109" t="n">
        <v>42705</v>
      </c>
      <c r="B86" s="112" t="n">
        <v>184.394544254213</v>
      </c>
      <c r="F86" s="109" t="n">
        <v>42675</v>
      </c>
      <c r="G86" s="0" t="n">
        <v>182.82276539</v>
      </c>
    </row>
    <row r="87" customFormat="false" ht="16.4" hidden="false" customHeight="false" outlineLevel="0" collapsed="false">
      <c r="A87" s="109" t="n">
        <v>42736</v>
      </c>
      <c r="B87" s="112" t="n">
        <v>185.261198612208</v>
      </c>
      <c r="F87" s="109" t="n">
        <v>42705</v>
      </c>
      <c r="G87" s="0" t="n">
        <v>184.834548093</v>
      </c>
    </row>
    <row r="88" customFormat="false" ht="16.4" hidden="false" customHeight="false" outlineLevel="0" collapsed="false">
      <c r="A88" s="109" t="n">
        <v>42767</v>
      </c>
      <c r="B88" s="112" t="n">
        <v>185.872560567628</v>
      </c>
      <c r="F88" s="109" t="n">
        <v>42736</v>
      </c>
      <c r="G88" s="0" t="n">
        <v>185.153894081</v>
      </c>
    </row>
    <row r="89" customFormat="false" ht="16.4" hidden="false" customHeight="false" outlineLevel="0" collapsed="false">
      <c r="A89" s="109" t="n">
        <v>42795</v>
      </c>
      <c r="B89" s="112" t="n">
        <v>186.244305688763</v>
      </c>
      <c r="F89" s="109" t="n">
        <v>42767</v>
      </c>
      <c r="G89" s="0" t="n">
        <v>185.3591934</v>
      </c>
    </row>
    <row r="90" customFormat="false" ht="16.4" hidden="false" customHeight="false" outlineLevel="0" collapsed="false">
      <c r="A90" s="109" t="n">
        <v>42826</v>
      </c>
      <c r="B90" s="112" t="n">
        <v>187.678386842567</v>
      </c>
      <c r="F90" s="109" t="n">
        <v>42795</v>
      </c>
      <c r="G90" s="0" t="n">
        <v>185.422516036</v>
      </c>
    </row>
    <row r="91" customFormat="false" ht="16.4" hidden="false" customHeight="false" outlineLevel="0" collapsed="false">
      <c r="A91" s="109" t="n">
        <v>42856</v>
      </c>
      <c r="B91" s="112" t="n">
        <v>188.541707422043</v>
      </c>
      <c r="F91" s="109" t="n">
        <v>42826</v>
      </c>
      <c r="G91" s="0" t="n">
        <v>186.421062105</v>
      </c>
    </row>
    <row r="92" customFormat="false" ht="16.4" hidden="false" customHeight="false" outlineLevel="0" collapsed="false">
      <c r="A92" s="109" t="n">
        <v>42887</v>
      </c>
      <c r="B92" s="112" t="n">
        <v>189.635249325091</v>
      </c>
      <c r="F92" s="109" t="n">
        <v>42856</v>
      </c>
      <c r="G92" s="0" t="n">
        <v>187.287159725</v>
      </c>
    </row>
    <row r="93" customFormat="false" ht="16.4" hidden="false" customHeight="false" outlineLevel="0" collapsed="false">
      <c r="A93" s="109" t="n">
        <v>42917</v>
      </c>
      <c r="B93" s="112" t="n">
        <v>188.72500012833</v>
      </c>
      <c r="F93" s="109" t="n">
        <v>42887</v>
      </c>
      <c r="G93" s="0" t="n">
        <v>189.086626456</v>
      </c>
    </row>
    <row r="94" customFormat="false" ht="16.4" hidden="false" customHeight="false" outlineLevel="0" collapsed="false">
      <c r="A94" s="109" t="n">
        <v>42948</v>
      </c>
      <c r="B94" s="112" t="n">
        <v>187.762502627676</v>
      </c>
      <c r="F94" s="109" t="n">
        <v>42917</v>
      </c>
      <c r="G94" s="0" t="n">
        <v>188.769593782</v>
      </c>
    </row>
    <row r="95" customFormat="false" ht="16.4" hidden="false" customHeight="false" outlineLevel="0" collapsed="false">
      <c r="A95" s="109" t="n">
        <v>42979</v>
      </c>
      <c r="B95" s="112" t="n">
        <v>187.499635123997</v>
      </c>
      <c r="F95" s="109" t="n">
        <v>42948</v>
      </c>
      <c r="G95" s="0" t="n">
        <v>188.807331843</v>
      </c>
    </row>
    <row r="96" customFormat="false" ht="16.4" hidden="false" customHeight="false" outlineLevel="0" collapsed="false">
      <c r="A96" s="109" t="n">
        <v>43009</v>
      </c>
      <c r="B96" s="112" t="n">
        <v>187.799634540195</v>
      </c>
      <c r="F96" s="109" t="n">
        <v>42979</v>
      </c>
      <c r="G96" s="0" t="n">
        <v>188.602125163</v>
      </c>
    </row>
    <row r="97" customFormat="false" ht="16.4" hidden="false" customHeight="false" outlineLevel="0" collapsed="false">
      <c r="A97" s="109" t="n">
        <v>43040</v>
      </c>
      <c r="B97" s="112" t="n">
        <v>188.137673882368</v>
      </c>
      <c r="F97" s="109" t="n">
        <v>43009</v>
      </c>
      <c r="G97" s="0" t="n">
        <v>188.837501241</v>
      </c>
    </row>
    <row r="98" customFormat="false" ht="16.4" hidden="false" customHeight="false" outlineLevel="0" collapsed="false">
      <c r="A98" s="109" t="n">
        <v>43070</v>
      </c>
      <c r="B98" s="112" t="n">
        <v>188.96547964745</v>
      </c>
      <c r="F98" s="109" t="n">
        <v>43040</v>
      </c>
      <c r="G98" s="0" t="n">
        <v>189.011244042</v>
      </c>
    </row>
    <row r="99" customFormat="false" ht="16.4" hidden="false" customHeight="false" outlineLevel="0" collapsed="false">
      <c r="A99" s="109" t="n">
        <v>43101</v>
      </c>
      <c r="B99" s="112" t="n">
        <v>188.908790003556</v>
      </c>
      <c r="F99" s="109" t="n">
        <v>43070</v>
      </c>
      <c r="G99" s="0" t="n">
        <v>189.419221886</v>
      </c>
    </row>
    <row r="100" customFormat="false" ht="16.4" hidden="false" customHeight="false" outlineLevel="0" collapsed="false">
      <c r="A100" s="109" t="n">
        <v>43132</v>
      </c>
      <c r="B100" s="112" t="n">
        <v>189.551079889568</v>
      </c>
      <c r="F100" s="109" t="n">
        <v>43101</v>
      </c>
      <c r="G100" s="0" t="n">
        <v>188.802286571</v>
      </c>
    </row>
    <row r="101" customFormat="false" ht="16.4" hidden="false" customHeight="false" outlineLevel="0" collapsed="false">
      <c r="A101" s="109" t="n">
        <v>43160</v>
      </c>
      <c r="B101" s="112" t="n">
        <v>189.702720753479</v>
      </c>
      <c r="F101" s="109" t="n">
        <v>43132</v>
      </c>
      <c r="G101" s="0" t="n">
        <v>189.028691621</v>
      </c>
    </row>
    <row r="102" customFormat="false" ht="16.4" hidden="false" customHeight="false" outlineLevel="0" collapsed="false">
      <c r="A102" s="109" t="n">
        <v>43191</v>
      </c>
      <c r="B102" s="112" t="n">
        <v>190.651234357247</v>
      </c>
      <c r="F102" s="109" t="n">
        <v>43160</v>
      </c>
      <c r="G102" s="0" t="n">
        <v>188.867428386</v>
      </c>
    </row>
    <row r="103" customFormat="false" ht="16.4" hidden="false" customHeight="false" outlineLevel="0" collapsed="false">
      <c r="A103" s="109" t="n">
        <v>43221</v>
      </c>
      <c r="B103" s="112" t="n">
        <v>190.822820468168</v>
      </c>
      <c r="F103" s="109" t="n">
        <v>43191</v>
      </c>
      <c r="G103" s="0" t="n">
        <v>189.374286735</v>
      </c>
    </row>
    <row r="104" customFormat="false" ht="16.4" hidden="false" customHeight="false" outlineLevel="0" collapsed="false">
      <c r="A104" s="109" t="n">
        <v>43252</v>
      </c>
      <c r="B104" s="112" t="n">
        <v>192.044086519165</v>
      </c>
      <c r="F104" s="109" t="n">
        <v>43221</v>
      </c>
      <c r="G104" s="0" t="n">
        <v>189.55549331</v>
      </c>
    </row>
    <row r="105" customFormat="false" ht="16.4" hidden="false" customHeight="false" outlineLevel="0" collapsed="false">
      <c r="A105" s="109" t="n">
        <v>43282</v>
      </c>
      <c r="B105" s="112" t="n">
        <v>192.274539422988</v>
      </c>
      <c r="F105" s="109" t="n">
        <v>43252</v>
      </c>
      <c r="G105" s="0" t="n">
        <v>191.487675805</v>
      </c>
    </row>
    <row r="106" customFormat="false" ht="16.4" hidden="false" customHeight="false" outlineLevel="0" collapsed="false">
      <c r="A106" s="109" t="n">
        <v>43313</v>
      </c>
      <c r="B106" s="112" t="n">
        <v>192.178402153276</v>
      </c>
      <c r="F106" s="109" t="n">
        <v>43282</v>
      </c>
      <c r="G106" s="0" t="n">
        <v>192.31777286</v>
      </c>
    </row>
    <row r="107" customFormat="false" ht="16.4" hidden="false" customHeight="false" outlineLevel="0" collapsed="false">
      <c r="A107" s="109" t="n">
        <v>43344</v>
      </c>
      <c r="B107" s="112" t="n">
        <v>191.601866946816</v>
      </c>
      <c r="F107" s="109" t="n">
        <v>43313</v>
      </c>
      <c r="G107" s="0" t="n">
        <v>193.244899887</v>
      </c>
    </row>
    <row r="108" customFormat="false" ht="16.4" hidden="false" customHeight="false" outlineLevel="0" collapsed="false">
      <c r="A108" s="109" t="n">
        <v>43374</v>
      </c>
      <c r="B108" s="112" t="n">
        <v>191.774308627068</v>
      </c>
      <c r="F108" s="109" t="n">
        <v>43344</v>
      </c>
      <c r="G108" s="0" t="n">
        <v>192.730641152</v>
      </c>
    </row>
    <row r="109" customFormat="false" ht="16.4" hidden="false" customHeight="false" outlineLevel="0" collapsed="false">
      <c r="A109" s="109" t="n">
        <v>43405</v>
      </c>
      <c r="B109" s="112" t="n">
        <v>193.442745112124</v>
      </c>
      <c r="F109" s="109" t="n">
        <v>43374</v>
      </c>
      <c r="G109" s="0" t="n">
        <v>192.835673033</v>
      </c>
    </row>
    <row r="110" customFormat="false" ht="16.4" hidden="false" customHeight="false" outlineLevel="0" collapsed="false">
      <c r="A110" s="109" t="n">
        <v>43435</v>
      </c>
      <c r="B110" s="112" t="n">
        <v>195.531926759335</v>
      </c>
      <c r="F110" s="109" t="n">
        <v>43405</v>
      </c>
      <c r="G110" s="0" t="n">
        <v>194.337143852</v>
      </c>
    </row>
    <row r="111" customFormat="false" ht="16.4" hidden="false" customHeight="false" outlineLevel="0" collapsed="false">
      <c r="A111" s="109" t="n">
        <v>43466</v>
      </c>
      <c r="B111" s="112" t="n">
        <v>197.760990724391</v>
      </c>
      <c r="F111" s="109" t="n">
        <v>43435</v>
      </c>
      <c r="G111" s="0" t="n">
        <v>196.005444534</v>
      </c>
    </row>
    <row r="112" customFormat="false" ht="16.4" hidden="false" customHeight="false" outlineLevel="0" collapsed="false">
      <c r="A112" s="109" t="n">
        <v>43497</v>
      </c>
      <c r="B112" s="112" t="n">
        <v>199.165093758534</v>
      </c>
      <c r="F112" s="109" t="n">
        <v>43466</v>
      </c>
      <c r="G112" s="0" t="n">
        <v>197.651694481</v>
      </c>
    </row>
    <row r="113" customFormat="false" ht="16.4" hidden="false" customHeight="false" outlineLevel="0" collapsed="false">
      <c r="A113" s="109" t="n">
        <v>43525</v>
      </c>
      <c r="B113" s="112" t="n">
        <v>200.260501774206</v>
      </c>
      <c r="F113" s="109" t="n">
        <v>43497</v>
      </c>
      <c r="G113" s="0" t="n">
        <v>198.61597389</v>
      </c>
    </row>
    <row r="114" customFormat="false" ht="16.4" hidden="false" customHeight="false" outlineLevel="0" collapsed="false">
      <c r="A114" s="109" t="n">
        <v>43556</v>
      </c>
      <c r="B114" s="112" t="n">
        <v>201.442038734674</v>
      </c>
      <c r="F114" s="109" t="n">
        <v>43525</v>
      </c>
      <c r="G114" s="0" t="n">
        <v>199.377808592</v>
      </c>
    </row>
    <row r="115" customFormat="false" ht="16.4" hidden="false" customHeight="false" outlineLevel="0" collapsed="false">
      <c r="A115" s="109" t="n">
        <v>43586</v>
      </c>
      <c r="B115" s="112" t="n">
        <v>202.509681539968</v>
      </c>
      <c r="F115" s="109" t="n">
        <v>43556</v>
      </c>
      <c r="G115" s="0" t="n">
        <v>200.09048576</v>
      </c>
    </row>
    <row r="116" customFormat="false" ht="16.4" hidden="false" customHeight="false" outlineLevel="0" collapsed="false">
      <c r="A116" s="109" t="n">
        <v>43617</v>
      </c>
      <c r="B116" s="112" t="n">
        <v>201.679391845654</v>
      </c>
      <c r="F116" s="109" t="n">
        <v>43586</v>
      </c>
      <c r="G116" s="0" t="n">
        <v>201.164532805</v>
      </c>
    </row>
    <row r="117" customFormat="false" ht="16.4" hidden="false" customHeight="false" outlineLevel="0" collapsed="false">
      <c r="A117" s="109" t="n">
        <v>43647</v>
      </c>
      <c r="B117" s="112" t="n">
        <v>201.518048332178</v>
      </c>
      <c r="F117" s="109" t="n">
        <v>43617</v>
      </c>
      <c r="G117" s="0" t="n">
        <v>201.094934446</v>
      </c>
    </row>
    <row r="118" customFormat="false" ht="16.4" hidden="false" customHeight="false" outlineLevel="0" collapsed="false">
      <c r="A118" s="109" t="n">
        <v>43678</v>
      </c>
      <c r="B118" s="112" t="n">
        <v>201.175467650013</v>
      </c>
      <c r="F118" s="109" t="n">
        <v>43647</v>
      </c>
      <c r="G118" s="0" t="n">
        <v>201.562235278</v>
      </c>
    </row>
    <row r="119" customFormat="false" ht="16.4" hidden="false" customHeight="false" outlineLevel="0" collapsed="false">
      <c r="A119" s="109" t="n">
        <v>43709</v>
      </c>
      <c r="B119" s="112" t="n">
        <v>200.531706153533</v>
      </c>
      <c r="F119" s="109" t="n">
        <v>43678</v>
      </c>
      <c r="G119" s="0" t="n">
        <v>202.290515509</v>
      </c>
    </row>
    <row r="120" customFormat="false" ht="16.4" hidden="false" customHeight="false" outlineLevel="0" collapsed="false">
      <c r="A120" s="109" t="n">
        <v>43739</v>
      </c>
      <c r="B120" s="112" t="n">
        <v>201.133301271993</v>
      </c>
      <c r="F120" s="109" t="n">
        <v>43709</v>
      </c>
      <c r="G120" s="0" t="n">
        <v>201.713203639</v>
      </c>
    </row>
    <row r="121" customFormat="false" ht="16.4" hidden="false" customHeight="false" outlineLevel="0" collapsed="false">
      <c r="A121" s="109" t="n">
        <v>43770</v>
      </c>
      <c r="B121" s="112" t="n">
        <v>201.917721146954</v>
      </c>
      <c r="F121" s="109" t="n">
        <v>43739</v>
      </c>
      <c r="G121" s="0" t="n">
        <v>202.244352687</v>
      </c>
    </row>
    <row r="122" customFormat="false" ht="16.4" hidden="false" customHeight="false" outlineLevel="0" collapsed="false">
      <c r="A122" s="109" t="n">
        <v>43800</v>
      </c>
      <c r="B122" s="112" t="n">
        <v>202.745583803657</v>
      </c>
      <c r="F122" s="109" t="n">
        <v>43770</v>
      </c>
      <c r="G122" s="0" t="n">
        <v>202.845139973</v>
      </c>
    </row>
    <row r="123" customFormat="false" ht="16.4" hidden="false" customHeight="false" outlineLevel="0" collapsed="false">
      <c r="A123" s="109" t="n">
        <v>43831</v>
      </c>
      <c r="B123" s="112" t="n">
        <v>203.759311722675</v>
      </c>
      <c r="F123" s="109" t="n">
        <v>43800</v>
      </c>
      <c r="G123" s="0" t="n">
        <v>203.240945994</v>
      </c>
    </row>
    <row r="124" customFormat="false" ht="16.4" hidden="false" customHeight="false" outlineLevel="0" collapsed="false">
      <c r="A124" s="109" t="n">
        <v>43862</v>
      </c>
      <c r="B124" s="112" t="n">
        <v>204.574348969566</v>
      </c>
      <c r="F124" s="109" t="n">
        <v>43831</v>
      </c>
      <c r="G124" s="0" t="n">
        <v>203.650660078</v>
      </c>
    </row>
    <row r="125" customFormat="false" ht="16.4" hidden="false" customHeight="false" outlineLevel="0" collapsed="false">
      <c r="A125" s="109" t="n">
        <v>43891</v>
      </c>
      <c r="B125" s="112" t="n">
        <v>205.944997107662</v>
      </c>
      <c r="F125" s="109" t="n">
        <v>43862</v>
      </c>
      <c r="G125" s="0" t="n">
        <v>204.012297464</v>
      </c>
    </row>
    <row r="126" customFormat="false" ht="16.4" hidden="false" customHeight="false" outlineLevel="0" collapsed="false">
      <c r="A126" s="109" t="n">
        <v>43922</v>
      </c>
      <c r="B126" s="112" t="n">
        <v>208.622282070062</v>
      </c>
      <c r="F126" s="109" t="n">
        <v>43891</v>
      </c>
      <c r="G126" s="0" t="n">
        <v>205.038110072</v>
      </c>
    </row>
    <row r="127" customFormat="false" ht="16.4" hidden="false" customHeight="false" outlineLevel="0" collapsed="false">
      <c r="A127" s="109" t="n">
        <v>43952</v>
      </c>
      <c r="B127" s="112" t="n">
        <v>208.872628808546</v>
      </c>
      <c r="F127" s="109" t="n">
        <v>43922</v>
      </c>
      <c r="G127" s="0" t="n">
        <v>207.222946319</v>
      </c>
    </row>
    <row r="128" customFormat="false" ht="16.4" hidden="false" customHeight="false" outlineLevel="0" collapsed="false">
      <c r="A128" s="109" t="n">
        <v>43983</v>
      </c>
      <c r="B128" s="112" t="n">
        <v>208.893516071426</v>
      </c>
      <c r="F128" s="109" t="n">
        <v>43952</v>
      </c>
      <c r="G128" s="0" t="n">
        <v>207.487681802</v>
      </c>
    </row>
    <row r="129" customFormat="false" ht="16.4" hidden="false" customHeight="false" outlineLevel="0" collapsed="false">
      <c r="A129" s="109" t="n">
        <v>44013</v>
      </c>
      <c r="B129" s="112" t="n">
        <v>208.580175797319</v>
      </c>
      <c r="F129" s="109" t="n">
        <v>43983</v>
      </c>
      <c r="G129" s="0" t="n">
        <v>208.290052088</v>
      </c>
    </row>
    <row r="130" customFormat="false" ht="16.4" hidden="false" customHeight="false" outlineLevel="0" collapsed="false">
      <c r="A130" s="109" t="n">
        <v>44044</v>
      </c>
      <c r="B130" s="112" t="n">
        <v>208.809613990696</v>
      </c>
      <c r="F130" s="109" t="n">
        <v>44013</v>
      </c>
      <c r="G130" s="0" t="n">
        <v>208.625850755</v>
      </c>
    </row>
    <row r="131" customFormat="false" ht="16.4" hidden="false" customHeight="false" outlineLevel="0" collapsed="false">
      <c r="A131" s="109" t="n">
        <v>44075</v>
      </c>
      <c r="B131" s="112" t="n">
        <v>209.081066488884</v>
      </c>
      <c r="F131" s="109" t="n">
        <v>44044</v>
      </c>
      <c r="G131" s="0" t="n">
        <v>209.967354738</v>
      </c>
    </row>
    <row r="132" customFormat="false" ht="16.4" hidden="false" customHeight="false" outlineLevel="0" collapsed="false">
      <c r="A132" s="109" t="n">
        <v>44105</v>
      </c>
      <c r="B132" s="112" t="n">
        <v>210.126471821329</v>
      </c>
      <c r="F132" s="109" t="n">
        <v>44075</v>
      </c>
      <c r="G132" s="0" t="n">
        <v>210.311395173</v>
      </c>
    </row>
    <row r="133" customFormat="false" ht="16.4" hidden="false" customHeight="false" outlineLevel="0" collapsed="false">
      <c r="A133" s="109" t="n">
        <v>44136</v>
      </c>
      <c r="B133" s="112" t="n">
        <v>211.765458301535</v>
      </c>
      <c r="F133" s="109" t="n">
        <v>44105</v>
      </c>
      <c r="G133" s="0" t="n">
        <v>211.282835168</v>
      </c>
    </row>
    <row r="134" customFormat="false" ht="16.4" hidden="false" customHeight="false" outlineLevel="0" collapsed="false">
      <c r="A134" s="109" t="n">
        <v>44166</v>
      </c>
      <c r="B134" s="112" t="n">
        <v>213.671347426249</v>
      </c>
      <c r="F134" s="109" t="n">
        <v>44136</v>
      </c>
      <c r="G134" s="0" t="n">
        <v>212.730096611</v>
      </c>
    </row>
    <row r="135" customFormat="false" ht="16.4" hidden="false" customHeight="false" outlineLevel="0" collapsed="false">
      <c r="A135" s="109" t="n">
        <v>44197</v>
      </c>
      <c r="B135" s="112" t="n">
        <v>214.953375510806</v>
      </c>
      <c r="F135" s="109" t="n">
        <v>44166</v>
      </c>
      <c r="G135" s="0" t="n">
        <v>214.196530824</v>
      </c>
    </row>
    <row r="136" customFormat="false" ht="16.4" hidden="false" customHeight="false" outlineLevel="0" collapsed="false">
      <c r="A136" s="109" t="n">
        <v>44228</v>
      </c>
      <c r="B136" s="112" t="n">
        <v>217.167395278568</v>
      </c>
      <c r="F136" s="109" t="n">
        <v>44197</v>
      </c>
      <c r="G136" s="0" t="n">
        <v>214.841000862</v>
      </c>
    </row>
    <row r="137" customFormat="false" ht="16.4" hidden="false" customHeight="false" outlineLevel="0" collapsed="false">
      <c r="A137" s="109" t="n">
        <v>44256</v>
      </c>
      <c r="B137" s="112" t="n">
        <v>220.012288156717</v>
      </c>
      <c r="F137" s="109" t="n">
        <v>44228</v>
      </c>
      <c r="G137" s="0" t="n">
        <v>216.570480417</v>
      </c>
    </row>
    <row r="138" customFormat="false" ht="16.4" hidden="false" customHeight="false" outlineLevel="0" collapsed="false">
      <c r="A138" s="109" t="n">
        <v>44287</v>
      </c>
      <c r="B138" s="112" t="n">
        <v>221.904393834865</v>
      </c>
      <c r="F138" s="109" t="n">
        <v>44256</v>
      </c>
      <c r="G138" s="0" t="n">
        <v>219.043704795</v>
      </c>
    </row>
    <row r="139" customFormat="false" ht="16.4" hidden="false" customHeight="false" outlineLevel="0" collapsed="false">
      <c r="A139" s="109" t="n">
        <v>44317</v>
      </c>
      <c r="B139" s="112" t="n">
        <v>222.814201849588</v>
      </c>
      <c r="F139" s="109" t="n">
        <v>44287</v>
      </c>
      <c r="G139" s="0" t="n">
        <v>220.418997879</v>
      </c>
    </row>
    <row r="140" customFormat="false" ht="16.4" hidden="false" customHeight="false" outlineLevel="0" collapsed="false">
      <c r="A140" s="109" t="n">
        <v>44348</v>
      </c>
      <c r="B140" s="112" t="n">
        <v>224.061961379945</v>
      </c>
      <c r="F140" s="109" t="n">
        <v>44317</v>
      </c>
      <c r="G140" s="0" t="n">
        <v>221.341296845</v>
      </c>
    </row>
    <row r="141" customFormat="false" ht="16.4" hidden="false" customHeight="false" outlineLevel="0" collapsed="false">
      <c r="A141" s="109" t="n">
        <v>44378</v>
      </c>
      <c r="B141" s="112" t="n">
        <v>224.554897694981</v>
      </c>
      <c r="F141" s="109" t="n">
        <v>44348</v>
      </c>
      <c r="G141" s="0" t="n">
        <v>223.418086527</v>
      </c>
    </row>
    <row r="142" customFormat="false" ht="16.4" hidden="false" customHeight="false" outlineLevel="0" collapsed="false">
      <c r="A142" s="109" t="n">
        <v>44409</v>
      </c>
      <c r="B142" s="112" t="n">
        <v>224.914185531293</v>
      </c>
      <c r="F142" s="109" t="n">
        <v>44378</v>
      </c>
      <c r="G142" s="0" t="n">
        <v>224.603986401</v>
      </c>
    </row>
    <row r="143" customFormat="false" ht="16.4" hidden="false" customHeight="false" outlineLevel="0" collapsed="false">
      <c r="A143" s="109" t="n">
        <v>44440</v>
      </c>
      <c r="B143" s="112" t="n">
        <v>226.556059085672</v>
      </c>
      <c r="F143" s="109" t="n">
        <v>44409</v>
      </c>
      <c r="G143" s="0" t="n">
        <v>226.162436293</v>
      </c>
    </row>
    <row r="144" customFormat="false" ht="16.4" hidden="false" customHeight="false" outlineLevel="0" collapsed="false">
      <c r="A144" s="109" t="n">
        <v>44470</v>
      </c>
      <c r="B144" s="112" t="n">
        <v>228.64037482926</v>
      </c>
      <c r="F144" s="109" t="n">
        <v>44440</v>
      </c>
      <c r="G144" s="0" t="n">
        <v>227.886207482</v>
      </c>
    </row>
    <row r="145" customFormat="false" ht="16.4" hidden="false" customHeight="false" outlineLevel="0" collapsed="false">
      <c r="A145" s="109" t="n">
        <v>44501</v>
      </c>
      <c r="B145" s="112" t="n">
        <v>230.606682052791</v>
      </c>
      <c r="F145" s="109" t="n">
        <v>44470</v>
      </c>
      <c r="G145" s="0" t="n">
        <v>229.892262084</v>
      </c>
    </row>
    <row r="146" customFormat="false" ht="16.4" hidden="false" customHeight="false" outlineLevel="0" collapsed="false">
      <c r="A146" s="109" t="n">
        <v>44531</v>
      </c>
      <c r="B146" s="112" t="n">
        <v>231.090956085102</v>
      </c>
      <c r="F146" s="109" t="n">
        <v>44501</v>
      </c>
      <c r="G146" s="0" t="n">
        <v>231.647788729</v>
      </c>
    </row>
    <row r="147" customFormat="false" ht="16.4" hidden="false" customHeight="false" outlineLevel="0" collapsed="false">
      <c r="A147" s="109" t="n">
        <v>44562</v>
      </c>
      <c r="B147" s="112" t="n">
        <v>233.910265749341</v>
      </c>
      <c r="F147" s="109" t="n">
        <v>44531</v>
      </c>
      <c r="G147" s="0" t="n">
        <v>231.661178382</v>
      </c>
    </row>
    <row r="148" customFormat="false" ht="16.4" hidden="false" customHeight="false" outlineLevel="0" collapsed="false">
      <c r="A148" s="109" t="n">
        <v>44593</v>
      </c>
      <c r="B148" s="112" t="n">
        <v>236.109022247384</v>
      </c>
      <c r="F148" s="109" t="n">
        <v>44562</v>
      </c>
      <c r="G148" s="0" t="n">
        <v>233.788135964</v>
      </c>
    </row>
    <row r="149" customFormat="false" ht="16.4" hidden="false" customHeight="false" outlineLevel="0" collapsed="false">
      <c r="A149" s="109" t="n">
        <v>44621</v>
      </c>
      <c r="B149" s="112" t="n">
        <v>249.213072982114</v>
      </c>
      <c r="F149" s="109" t="n">
        <v>44593</v>
      </c>
      <c r="G149" s="0" t="n">
        <v>235.45818818</v>
      </c>
    </row>
    <row r="150" customFormat="false" ht="16.4" hidden="false" customHeight="false" outlineLevel="0" collapsed="false">
      <c r="A150" s="109" t="n">
        <v>44652</v>
      </c>
      <c r="B150" s="112" t="n">
        <v>257.387261775928</v>
      </c>
      <c r="F150" s="109" t="n">
        <v>44621</v>
      </c>
      <c r="G150" s="0" t="n">
        <v>248.117368205</v>
      </c>
    </row>
    <row r="151" customFormat="false" ht="16.4" hidden="false" customHeight="false" outlineLevel="0" collapsed="false">
      <c r="A151" s="109" t="n">
        <v>44682</v>
      </c>
      <c r="B151" s="112" t="n">
        <v>259.137495156004</v>
      </c>
      <c r="F151" s="109" t="n">
        <v>44652</v>
      </c>
      <c r="G151" s="0" t="n">
        <v>255.669728488</v>
      </c>
    </row>
    <row r="152" customFormat="false" ht="16.4" hidden="false" customHeight="false" outlineLevel="0" collapsed="false">
      <c r="A152" s="109" t="n">
        <v>44713</v>
      </c>
      <c r="B152" s="112" t="n">
        <v>257.375360188943</v>
      </c>
      <c r="F152" s="109" t="n">
        <v>44682</v>
      </c>
      <c r="G152" s="0" t="n">
        <v>257.430502535</v>
      </c>
    </row>
    <row r="153" customFormat="false" ht="16.4" hidden="false" customHeight="false" outlineLevel="0" collapsed="false">
      <c r="A153" s="109" t="n">
        <v>44743</v>
      </c>
      <c r="B153" s="112" t="n">
        <v>255.393569915488</v>
      </c>
      <c r="F153" s="109" t="n">
        <v>44713</v>
      </c>
      <c r="G153" s="0" t="n">
        <v>256.641177691</v>
      </c>
    </row>
    <row r="154" customFormat="false" ht="16.4" hidden="false" customHeight="false" outlineLevel="0" collapsed="false">
      <c r="A154" s="109" t="n">
        <v>44774</v>
      </c>
      <c r="B154" s="112" t="n">
        <v>253.93782656697</v>
      </c>
      <c r="F154" s="109" t="n">
        <v>44743</v>
      </c>
      <c r="G154" s="0" t="n">
        <v>255.448956003</v>
      </c>
    </row>
    <row r="155" customFormat="false" ht="16.4" hidden="false" customHeight="false" outlineLevel="0" collapsed="false">
      <c r="A155" s="109" t="n">
        <v>44805</v>
      </c>
      <c r="B155" s="112" t="n">
        <v>254.775821394641</v>
      </c>
      <c r="F155" s="109" t="n">
        <v>44774</v>
      </c>
      <c r="G155" s="0" t="n">
        <v>255.348086103</v>
      </c>
    </row>
    <row r="156" customFormat="false" ht="16.4" hidden="false" customHeight="false" outlineLevel="0" collapsed="false">
      <c r="A156" s="109" t="n">
        <v>44835</v>
      </c>
      <c r="B156" s="112" t="n">
        <v>256.457341815845</v>
      </c>
      <c r="F156" s="109" t="n">
        <v>44805</v>
      </c>
      <c r="G156" s="0" t="n">
        <v>256.267718514</v>
      </c>
    </row>
    <row r="157" customFormat="false" ht="16.4" hidden="false" customHeight="false" outlineLevel="0" collapsed="false">
      <c r="A157" s="109" t="n">
        <v>44866</v>
      </c>
      <c r="B157" s="112" t="n">
        <v>257.124130904567</v>
      </c>
      <c r="F157" s="109" t="n">
        <v>44835</v>
      </c>
      <c r="G157" s="0" t="n">
        <v>257.855389362</v>
      </c>
    </row>
    <row r="158" customFormat="false" ht="16.4" hidden="false" customHeight="false" outlineLevel="0" collapsed="false">
      <c r="A158" s="109" t="n">
        <v>44896</v>
      </c>
      <c r="B158" s="112" t="n">
        <v>258.589738450723</v>
      </c>
      <c r="F158" s="109" t="n">
        <v>44866</v>
      </c>
      <c r="G158" s="0" t="n">
        <v>258.275346827</v>
      </c>
    </row>
    <row r="159" customFormat="false" ht="16.4" hidden="false" customHeight="false" outlineLevel="0" collapsed="false">
      <c r="A159" s="109" t="n">
        <v>44927</v>
      </c>
      <c r="B159" s="112" t="n">
        <v>261.511802495216</v>
      </c>
      <c r="F159" s="109" t="n">
        <v>44896</v>
      </c>
      <c r="G159" s="0" t="n">
        <v>259.227686485</v>
      </c>
    </row>
    <row r="160" customFormat="false" ht="16.4" hidden="false" customHeight="false" outlineLevel="0" collapsed="false">
      <c r="A160" s="109" t="n">
        <v>44958</v>
      </c>
      <c r="B160" s="112" t="n">
        <v>263.47314101393</v>
      </c>
      <c r="F160" s="109" t="n">
        <v>44927</v>
      </c>
      <c r="G160" s="0" t="n">
        <v>261.37392325</v>
      </c>
    </row>
    <row r="161" customFormat="false" ht="16.4" hidden="false" customHeight="false" outlineLevel="0" collapsed="false">
      <c r="A161" s="109" t="n">
        <v>44986</v>
      </c>
      <c r="B161" s="112" t="n">
        <v>264.500686263884</v>
      </c>
      <c r="F161" s="109" t="n">
        <v>44958</v>
      </c>
      <c r="G161" s="0" t="n">
        <v>262.744287883</v>
      </c>
    </row>
    <row r="162" customFormat="false" ht="16.4" hidden="false" customHeight="false" outlineLevel="0" collapsed="false">
      <c r="A162" s="109" t="n">
        <v>45017</v>
      </c>
      <c r="B162" s="112" t="n">
        <v>266.405091204984</v>
      </c>
      <c r="F162" s="109" t="n">
        <v>44986</v>
      </c>
      <c r="G162" s="0" t="n">
        <v>263.339277099</v>
      </c>
    </row>
    <row r="163" customFormat="false" ht="16.4" hidden="false" customHeight="false" outlineLevel="0" collapsed="false">
      <c r="A163" s="109" t="n">
        <v>45047</v>
      </c>
      <c r="B163" s="112" t="n">
        <v>265.739078476972</v>
      </c>
      <c r="F163" s="109" t="n">
        <v>45017</v>
      </c>
      <c r="G163" s="0" t="n">
        <v>264.63531764</v>
      </c>
    </row>
    <row r="164" customFormat="false" ht="16.4" hidden="false" customHeight="false" outlineLevel="0" collapsed="false">
      <c r="A164" s="109" t="n">
        <v>45078</v>
      </c>
      <c r="B164" s="112" t="n">
        <v>266.881756514423</v>
      </c>
      <c r="F164" s="109" t="n">
        <v>45047</v>
      </c>
      <c r="G164" s="0" t="n">
        <v>264.000199916</v>
      </c>
    </row>
    <row r="165" customFormat="false" ht="16.4" hidden="false" customHeight="false" outlineLevel="0" collapsed="false">
      <c r="A165" s="109" t="n">
        <v>45108</v>
      </c>
      <c r="B165" s="112" t="n">
        <v>268.216165296995</v>
      </c>
      <c r="F165" s="109" t="n">
        <v>45078</v>
      </c>
      <c r="G165" s="0" t="n">
        <v>266.130346712</v>
      </c>
    </row>
    <row r="166" customFormat="false" ht="15" hidden="false" customHeight="true" outlineLevel="0" collapsed="false">
      <c r="A166" s="109" t="n">
        <v>45139</v>
      </c>
      <c r="B166" s="112" t="n">
        <v>268.028413981287</v>
      </c>
      <c r="F166" s="109" t="n">
        <v>45108</v>
      </c>
      <c r="G166" s="0" t="n">
        <v>268.27381399</v>
      </c>
    </row>
    <row r="167" customFormat="false" ht="16.4" hidden="false" customHeight="false" outlineLevel="0" collapsed="false">
      <c r="A167" s="109" t="n">
        <v>45170</v>
      </c>
      <c r="B167" s="112" t="n">
        <v>272.71891122596</v>
      </c>
      <c r="F167" s="109" t="n">
        <v>45139</v>
      </c>
      <c r="G167" s="0" t="n">
        <v>269.515224944</v>
      </c>
    </row>
    <row r="168" customFormat="false" ht="16.4" hidden="false" customHeight="false" outlineLevel="0" collapsed="false">
      <c r="A168" s="109" t="n">
        <v>45200</v>
      </c>
      <c r="B168" s="112" t="n">
        <v>273.973418217599</v>
      </c>
      <c r="F168" s="109" t="n">
        <v>45170</v>
      </c>
      <c r="G168" s="0" t="n">
        <v>274.311015133</v>
      </c>
    </row>
    <row r="169" customFormat="false" ht="16.4" hidden="false" customHeight="false" outlineLevel="0" collapsed="false">
      <c r="A169" s="109" t="n">
        <v>45231</v>
      </c>
      <c r="B169" s="112" t="n">
        <v>276.000821512409</v>
      </c>
      <c r="F169" s="109" t="n">
        <v>45200</v>
      </c>
      <c r="G169" s="0" t="n">
        <v>275.460673246</v>
      </c>
    </row>
    <row r="170" customFormat="false" ht="16.4" hidden="false" customHeight="false" outlineLevel="0" collapsed="false">
      <c r="A170" s="109" t="n">
        <v>45261</v>
      </c>
      <c r="B170" s="112" t="n">
        <v>276.801223894795</v>
      </c>
      <c r="F170" s="109" t="n">
        <v>45231</v>
      </c>
      <c r="G170" s="0" t="n">
        <v>277.225918631</v>
      </c>
    </row>
    <row r="171" customFormat="false" ht="16.4" hidden="false" customHeight="false" outlineLevel="0" collapsed="false">
      <c r="A171" s="109" t="n">
        <v>45292</v>
      </c>
      <c r="B171" s="112" t="n">
        <v>279.20939454268</v>
      </c>
      <c r="F171" s="109" t="n">
        <v>45261</v>
      </c>
      <c r="G171" s="0" t="n">
        <v>277.48166886</v>
      </c>
    </row>
    <row r="172" customFormat="false" ht="16.4" hidden="false" customHeight="false" outlineLevel="0" collapsed="false">
      <c r="A172" s="109" t="n">
        <v>45323</v>
      </c>
      <c r="B172" s="112" t="n">
        <v>280.689204333756</v>
      </c>
      <c r="F172" s="109" t="n">
        <v>45292</v>
      </c>
      <c r="G172" s="0" t="n">
        <v>279.061697586</v>
      </c>
    </row>
    <row r="173" customFormat="false" ht="16.4" hidden="false" customHeight="false" outlineLevel="0" collapsed="false">
      <c r="A173" s="109" t="n">
        <v>45352</v>
      </c>
      <c r="B173" s="112" t="n">
        <v>282.176857116725</v>
      </c>
      <c r="F173" s="109" t="n">
        <v>45323</v>
      </c>
      <c r="G173" s="0" t="n">
        <v>279.910930387</v>
      </c>
    </row>
    <row r="174" customFormat="false" ht="16.4" hidden="false" customHeight="false" outlineLevel="0" collapsed="false">
      <c r="A174" s="109" t="n">
        <v>45383</v>
      </c>
      <c r="B174" s="112" t="n">
        <v>283.249129173769</v>
      </c>
      <c r="F174" s="109" t="n">
        <v>45352</v>
      </c>
      <c r="G174" s="0" t="n">
        <v>280.939099486</v>
      </c>
    </row>
    <row r="175" customFormat="false" ht="16.4" hidden="false" customHeight="false" outlineLevel="0" collapsed="false">
      <c r="A175" s="109" t="n">
        <v>45413</v>
      </c>
      <c r="B175" s="112" t="n">
        <v>285.911670988002</v>
      </c>
      <c r="F175" s="109" t="n">
        <v>45383</v>
      </c>
      <c r="G175" s="0" t="n">
        <v>281.374229017</v>
      </c>
    </row>
    <row r="176" customFormat="false" ht="16.4" hidden="false" customHeight="false" outlineLevel="0" collapsed="false">
      <c r="A176" s="109" t="n">
        <v>45444</v>
      </c>
      <c r="B176" s="112" t="n">
        <v>286.42631199578</v>
      </c>
      <c r="F176" s="109" t="n">
        <v>45413</v>
      </c>
      <c r="G176" s="0" t="n">
        <v>284.048918462</v>
      </c>
    </row>
    <row r="177" customFormat="false" ht="16.4" hidden="false" customHeight="false" outlineLevel="0" collapsed="false">
      <c r="A177" s="109" t="n">
        <v>45474</v>
      </c>
      <c r="B177" s="112" t="n">
        <v>289.491073534135</v>
      </c>
      <c r="F177" s="109" t="n">
        <v>45444</v>
      </c>
      <c r="G177" s="0" t="n">
        <v>285.626493824</v>
      </c>
    </row>
    <row r="178" customFormat="false" ht="16.4" hidden="false" customHeight="false" outlineLevel="0" collapsed="false">
      <c r="A178" s="109" t="n">
        <v>45505</v>
      </c>
      <c r="B178" s="112" t="n">
        <v>289.751615500316</v>
      </c>
      <c r="F178" s="109" t="n">
        <v>45474</v>
      </c>
      <c r="G178" s="0" t="n">
        <v>289.550841311</v>
      </c>
    </row>
    <row r="179" customFormat="false" ht="16.4" hidden="false" customHeight="false" outlineLevel="0" collapsed="false">
      <c r="A179" s="109" t="n">
        <v>45536</v>
      </c>
      <c r="B179" s="112" t="n">
        <v>291.548075516418</v>
      </c>
      <c r="F179" s="109" t="n">
        <v>45505</v>
      </c>
      <c r="G179" s="0" t="n">
        <v>291.355030498</v>
      </c>
    </row>
    <row r="180" customFormat="false" ht="16.4" hidden="false" customHeight="false" outlineLevel="0" collapsed="false">
      <c r="A180" s="109" t="n">
        <v>45566</v>
      </c>
      <c r="B180" s="112" t="n">
        <v>294.521865886685</v>
      </c>
      <c r="F180" s="109" t="n">
        <v>45536</v>
      </c>
      <c r="G180" s="0" t="n">
        <v>293.250210029</v>
      </c>
    </row>
    <row r="181" customFormat="false" ht="16.4" hidden="false" customHeight="false" outlineLevel="0" collapsed="false">
      <c r="A181" s="109" t="n">
        <v>45597</v>
      </c>
      <c r="B181" s="112" t="n">
        <v>298.939693874986</v>
      </c>
      <c r="F181" s="109" t="n">
        <v>45566</v>
      </c>
      <c r="G181" s="0" t="n">
        <v>296.119831691</v>
      </c>
    </row>
    <row r="182" customFormat="false" ht="16.4" hidden="false" customHeight="false" outlineLevel="0" collapsed="false">
      <c r="A182" s="109" t="n">
        <v>45627</v>
      </c>
      <c r="B182" s="112" t="n">
        <v>301.660045089248</v>
      </c>
      <c r="F182" s="109" t="n">
        <v>45597</v>
      </c>
      <c r="G182" s="0" t="n">
        <v>300.261224398</v>
      </c>
    </row>
    <row r="183" customFormat="false" ht="16.4" hidden="false" customHeight="false" outlineLevel="0" collapsed="false">
      <c r="A183" s="109" t="n">
        <v>45658</v>
      </c>
      <c r="B183" s="112" t="n">
        <v>304.193989467998</v>
      </c>
      <c r="F183" s="109" t="n">
        <v>45627</v>
      </c>
      <c r="G183" s="0" t="n">
        <v>302.401774936</v>
      </c>
    </row>
    <row r="184" customFormat="false" ht="16.4" hidden="false" customHeight="false" outlineLevel="0" collapsed="false">
      <c r="A184" s="109" t="n">
        <v>45689</v>
      </c>
      <c r="B184" s="112" t="n">
        <v>308.270188926869</v>
      </c>
      <c r="F184" s="109" t="n">
        <v>45658</v>
      </c>
      <c r="G184" s="0" t="n">
        <v>304.034701398</v>
      </c>
    </row>
    <row r="185" customFormat="false" ht="16.4" hidden="false" customHeight="false" outlineLevel="0" collapsed="false">
      <c r="A185" s="109" t="n">
        <v>45717</v>
      </c>
      <c r="B185" s="112" t="n">
        <v>310.767177457176</v>
      </c>
      <c r="F185" s="109" t="n">
        <v>45689</v>
      </c>
      <c r="G185" s="0" t="n">
        <v>307.414196269</v>
      </c>
    </row>
    <row r="186" customFormat="false" ht="16.4" hidden="false" customHeight="false" outlineLevel="0" collapsed="false">
      <c r="A186" s="109" t="n">
        <v>45748</v>
      </c>
      <c r="B186" s="112" t="n">
        <v>312.321013344462</v>
      </c>
      <c r="F186" s="109" t="n">
        <v>45717</v>
      </c>
      <c r="G186" s="0" t="n">
        <v>309.403026728</v>
      </c>
    </row>
    <row r="187" customFormat="false" ht="16.4" hidden="false" customHeight="false" outlineLevel="0" collapsed="false">
      <c r="A187" s="109" t="n">
        <v>45778</v>
      </c>
      <c r="B187" s="112" t="n">
        <v>313.713931850195</v>
      </c>
      <c r="F187" s="109" t="n">
        <v>45748</v>
      </c>
      <c r="G187" s="0" t="n">
        <v>310.255339465</v>
      </c>
    </row>
    <row r="188" customFormat="false" ht="16.4" hidden="false" customHeight="false" outlineLevel="0" collapsed="false">
      <c r="A188" s="109" t="n">
        <v>45809</v>
      </c>
      <c r="B188" s="112" t="n">
        <v>314.732046639176</v>
      </c>
      <c r="F188" s="109" t="n">
        <v>45778</v>
      </c>
      <c r="G188" s="0" t="n">
        <v>311.672897507</v>
      </c>
    </row>
    <row r="189" customFormat="false" ht="16.4" hidden="false" customHeight="false" outlineLevel="0" collapsed="false">
      <c r="A189" s="109" t="n">
        <v>45839</v>
      </c>
      <c r="B189" s="112" t="n">
        <v>317.564635058929</v>
      </c>
      <c r="F189" s="109" t="n">
        <v>45809</v>
      </c>
      <c r="G189" s="0" t="n">
        <v>313.854576355</v>
      </c>
    </row>
    <row r="190" customFormat="false" ht="16.4" hidden="false" customHeight="false" outlineLevel="0" collapsed="false">
      <c r="A190" s="109" t="n">
        <v>45870</v>
      </c>
      <c r="B190" s="112" t="n">
        <v>318.580841891118</v>
      </c>
      <c r="F190" s="109" t="n">
        <v>45839</v>
      </c>
      <c r="G190" s="0" t="n">
        <v>317.626726554</v>
      </c>
    </row>
    <row r="191" customFormat="false" ht="16.4" hidden="false" customHeight="false" outlineLevel="0" collapsed="false">
      <c r="A191" s="109" t="n">
        <v>45901</v>
      </c>
      <c r="B191" s="112" t="n">
        <v>319.2180035749</v>
      </c>
      <c r="F191" s="109" t="n">
        <v>45870</v>
      </c>
      <c r="G191" s="0" t="n">
        <v>320.33785796</v>
      </c>
    </row>
    <row r="192" customFormat="false" ht="16.4" hidden="false" customHeight="false" outlineLevel="0" collapsed="false">
      <c r="A192" s="109" t="n">
        <v>45931</v>
      </c>
      <c r="B192" s="112" t="n">
        <v>320.750249992059</v>
      </c>
      <c r="F192" s="109" t="n">
        <v>45901</v>
      </c>
      <c r="G192" s="0" t="n">
        <v>321.080538135</v>
      </c>
    </row>
    <row r="193" customFormat="false" ht="16.4" hidden="false" customHeight="false" outlineLevel="0" collapsed="false">
      <c r="A193" s="109" t="n">
        <v>45962</v>
      </c>
      <c r="B193" s="112" t="n">
        <v>321.872875867032</v>
      </c>
      <c r="F193" s="109" t="n">
        <v>45931</v>
      </c>
      <c r="G193" s="0" t="n">
        <v>322.489382828</v>
      </c>
    </row>
    <row r="194" customFormat="false" ht="16.4" hidden="false" customHeight="false" outlineLevel="0" collapsed="false">
      <c r="A194" s="109" t="n">
        <v>45992</v>
      </c>
      <c r="B194" s="112" t="n">
        <v>322.838494494633</v>
      </c>
      <c r="F194" s="109" t="n">
        <v>45962</v>
      </c>
      <c r="G194" s="0" t="n">
        <v>323.294352532</v>
      </c>
    </row>
    <row r="195" customFormat="false" ht="16.4" hidden="false" customHeight="false" outlineLevel="0" collapsed="false">
      <c r="A195" s="109" t="n">
        <v>46023</v>
      </c>
      <c r="B195" s="112" t="n">
        <v>324.939601346819</v>
      </c>
      <c r="F195" s="109" t="n">
        <v>45992</v>
      </c>
      <c r="G195" s="0" t="n">
        <v>323.635165667</v>
      </c>
    </row>
    <row r="196" customFormat="false" ht="16.4" hidden="false" customHeight="false" outlineLevel="0" collapsed="false">
      <c r="A196" s="109" t="n">
        <v>46054</v>
      </c>
      <c r="B196" s="112" t="n">
        <v>326.742948546857</v>
      </c>
      <c r="F196" s="109" t="n">
        <v>46023</v>
      </c>
      <c r="G196" s="0" t="n">
        <v>324.77253076</v>
      </c>
    </row>
    <row r="197" customFormat="false" ht="16.4" hidden="false" customHeight="false" outlineLevel="0" collapsed="false">
      <c r="A197" s="109" t="n">
        <v>46082</v>
      </c>
      <c r="B197" s="112" t="n">
        <v>328.327209764099</v>
      </c>
      <c r="F197" s="109" t="n">
        <v>46054</v>
      </c>
      <c r="G197" s="0" t="n">
        <v>325.837393581</v>
      </c>
    </row>
    <row r="198" customFormat="false" ht="16.4" hidden="false" customHeight="false" outlineLevel="0" collapsed="false">
      <c r="A198" s="109" t="n">
        <v>46113</v>
      </c>
      <c r="B198" s="112" t="n">
        <v>330.59689439597</v>
      </c>
      <c r="F198" s="109" t="n">
        <v>46082</v>
      </c>
      <c r="G198" s="0" t="n">
        <v>326.887173037</v>
      </c>
    </row>
    <row r="199" customFormat="false" ht="16.4" hidden="false" customHeight="false" outlineLevel="0" collapsed="false">
      <c r="A199" s="109" t="n">
        <v>46143</v>
      </c>
      <c r="B199" s="112" t="n">
        <v>331.522796126314</v>
      </c>
      <c r="F199" s="109" t="n">
        <v>46113</v>
      </c>
      <c r="G199" s="0" t="n">
        <v>328.410292066</v>
      </c>
    </row>
    <row r="200" customFormat="false" ht="16.4" hidden="false" customHeight="false" outlineLevel="0" collapsed="false">
      <c r="A200" s="109" t="n">
        <v>46174</v>
      </c>
      <c r="B200" s="112" t="n">
        <v>331.742479707167</v>
      </c>
      <c r="F200" s="109" t="n">
        <v>46143</v>
      </c>
      <c r="G200" s="0" t="n">
        <v>329.365696305</v>
      </c>
    </row>
    <row r="201" customFormat="false" ht="16.4" hidden="false" customHeight="false" outlineLevel="0" collapsed="false">
      <c r="A201" s="109" t="n">
        <v>46204</v>
      </c>
      <c r="B201" s="112" t="n">
        <v>331.282424875931</v>
      </c>
      <c r="F201" s="109" t="n">
        <v>46174</v>
      </c>
      <c r="G201" s="0" t="n">
        <v>330.81618056</v>
      </c>
    </row>
    <row r="202" customFormat="false" ht="16.4" hidden="false" customHeight="false" outlineLevel="0" collapsed="false">
      <c r="A202" s="109" t="n">
        <v>46235</v>
      </c>
      <c r="B202" s="112" t="n">
        <v>330.667447421383</v>
      </c>
      <c r="F202" s="109" t="n">
        <v>46204</v>
      </c>
      <c r="G202" s="0" t="n">
        <v>331.346188214</v>
      </c>
    </row>
    <row r="203" customFormat="false" ht="16.4" hidden="false" customHeight="false" outlineLevel="0" collapsed="false">
      <c r="A203" s="109" t="n">
        <v>46266</v>
      </c>
      <c r="B203" s="112" t="n">
        <v>330.903971531851</v>
      </c>
      <c r="F203" s="109" t="n">
        <v>46235</v>
      </c>
      <c r="G203" s="0" t="n">
        <v>332.489743551</v>
      </c>
    </row>
    <row r="204" customFormat="false" ht="16.4" hidden="false" customHeight="false" outlineLevel="0" collapsed="false">
      <c r="A204" s="109" t="n">
        <v>46296</v>
      </c>
      <c r="B204" s="112" t="n">
        <v>332.361637609558</v>
      </c>
      <c r="F204" s="109" t="n">
        <v>46266</v>
      </c>
      <c r="G204" s="0" t="n">
        <v>332.835930299</v>
      </c>
    </row>
    <row r="205" customFormat="false" ht="16.4" hidden="false" customHeight="false" outlineLevel="0" collapsed="false">
      <c r="A205" s="109" t="n">
        <v>46327</v>
      </c>
      <c r="B205" s="112" t="n">
        <v>334.344352259014</v>
      </c>
      <c r="F205" s="109" t="n">
        <v>46296</v>
      </c>
      <c r="G205" s="0" t="n">
        <v>334.164653695</v>
      </c>
    </row>
    <row r="206" customFormat="false" ht="16.4" hidden="false" customHeight="false" outlineLevel="0" collapsed="false">
      <c r="A206" s="109" t="n">
        <v>46357</v>
      </c>
      <c r="B206" s="112" t="n">
        <v>335.865950731389</v>
      </c>
      <c r="F206" s="109" t="n">
        <v>46327</v>
      </c>
      <c r="G206" s="0" t="n">
        <v>335.821183559</v>
      </c>
    </row>
    <row r="207" customFormat="false" ht="14.25" hidden="false" customHeight="false" outlineLevel="0" collapsed="false">
      <c r="F207" s="109" t="n">
        <v>46357</v>
      </c>
      <c r="G207" s="0" t="n">
        <v>336.696822631</v>
      </c>
    </row>
    <row r="208" customFormat="false" ht="14.25" hidden="false" customHeight="false" outlineLevel="0" collapsed="false">
      <c r="F208" s="109" t="n">
        <v>46388</v>
      </c>
      <c r="G208" s="0" t="n">
        <v>338.312959398</v>
      </c>
    </row>
    <row r="209" customFormat="false" ht="14.25" hidden="false" customHeight="false" outlineLevel="0" collapsed="false">
      <c r="F209" s="109" t="n">
        <v>46419</v>
      </c>
      <c r="G209" s="0" t="n">
        <v>340.157785326</v>
      </c>
    </row>
    <row r="210" customFormat="false" ht="14.25" hidden="false" customHeight="false" outlineLevel="0" collapsed="false">
      <c r="F210" s="109" t="n">
        <v>46447</v>
      </c>
      <c r="G210" s="0" t="n">
        <v>342.01267112</v>
      </c>
    </row>
    <row r="211" customFormat="false" ht="14.25" hidden="false" customHeight="false" outlineLevel="0" collapsed="false">
      <c r="F211" s="109" t="n">
        <v>46478</v>
      </c>
      <c r="G211" s="0" t="n">
        <v>343.877671636</v>
      </c>
    </row>
    <row r="212" customFormat="false" ht="14.25" hidden="false" customHeight="false" outlineLevel="0" collapsed="false">
      <c r="F212" s="109" t="n">
        <v>46508</v>
      </c>
      <c r="G212" s="0" t="n">
        <v>345.75284203</v>
      </c>
    </row>
    <row r="213" customFormat="false" ht="14.25" hidden="false" customHeight="false" outlineLevel="0" collapsed="false">
      <c r="F213" s="109" t="n">
        <v>46539</v>
      </c>
      <c r="G213" s="0" t="n">
        <v>347.638237758</v>
      </c>
    </row>
    <row r="214" customFormat="false" ht="14.25" hidden="false" customHeight="false" outlineLevel="0" collapsed="false">
      <c r="F214" s="109" t="n">
        <v>46569</v>
      </c>
      <c r="G214" s="0" t="n">
        <v>349.53391458</v>
      </c>
    </row>
    <row r="215" customFormat="false" ht="14.25" hidden="false" customHeight="false" outlineLevel="0" collapsed="false">
      <c r="F215" s="109" t="n">
        <v>46600</v>
      </c>
      <c r="G215" s="0" t="n">
        <v>351.439928557</v>
      </c>
    </row>
    <row r="216" customFormat="false" ht="14.25" hidden="false" customHeight="false" outlineLevel="0" collapsed="false">
      <c r="F216" s="109" t="n">
        <v>46631</v>
      </c>
      <c r="G216" s="0" t="n">
        <v>353.356336059</v>
      </c>
    </row>
    <row r="217" customFormat="false" ht="14.25" hidden="false" customHeight="false" outlineLevel="0" collapsed="false">
      <c r="F217" s="109" t="n">
        <v>46661</v>
      </c>
      <c r="G217" s="0" t="n">
        <v>355.283193761</v>
      </c>
    </row>
    <row r="218" customFormat="false" ht="14.25" hidden="false" customHeight="false" outlineLevel="0" collapsed="false">
      <c r="F218" s="109" t="n">
        <v>46692</v>
      </c>
      <c r="G218" s="0" t="n">
        <v>357.220558649</v>
      </c>
    </row>
    <row r="219" customFormat="false" ht="14.25" hidden="false" customHeight="false" outlineLevel="0" collapsed="false">
      <c r="F219" s="109" t="n">
        <v>46722</v>
      </c>
      <c r="G219" s="0" t="n">
        <v>359.168488019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2023-01-27T09:39:11Z</dcterms:created>
  <dc:creator>Метов Валерий Хаутиевич</dc:creator>
  <dc:description/>
  <dc:language>en-US</dc:language>
  <cp:lastModifiedBy>msuser1087</cp:lastModifiedBy>
  <cp:lastPrinted>2025-04-03T08:57:18Z</cp:lastPrinted>
  <dcterms:modified xsi:type="dcterms:W3CDTF">2026-09-01T08:21:39Z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