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ЦБ_Работа\04_Прогноз\_1_Прогноз\_Актуальный прогноз\2026\062026\"/>
    </mc:Choice>
  </mc:AlternateContent>
  <xr:revisionPtr revIDLastSave="0" documentId="13_ncr:1_{459D2F2E-404B-4147-BFFF-107BDE84CDD1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Прогноз" sheetId="7" r:id="rId1"/>
    <sheet name="Прогноз (2)" sheetId="15" r:id="rId2"/>
    <sheet name="РасчетSaar" sheetId="12" r:id="rId3"/>
    <sheet name="Корректировки" sheetId="11" r:id="rId4"/>
    <sheet name="Описания" sheetId="9" state="hidden" r:id="rId5"/>
    <sheet name="Параметры" sheetId="8" state="hidden" r:id="rId6"/>
    <sheet name="Лист1" sheetId="13" r:id="rId7"/>
    <sheet name="for_sa" sheetId="14" r:id="rId8"/>
  </sheets>
  <externalReferences>
    <externalReference r:id="rId9"/>
  </externalReferences>
  <definedNames>
    <definedName name="ExternalData_1" localSheetId="6" hidden="1">Лист1!$A$1:$C$16</definedName>
    <definedName name="ExternalData_2" localSheetId="6" hidden="1">Лист1!$I$1:$K$185</definedName>
    <definedName name="рассчитываемБИПЦ">[1]БИПЦ!$D$1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7" l="1"/>
  <c r="G218" i="12"/>
  <c r="J218" i="12" s="1"/>
  <c r="G217" i="12"/>
  <c r="J217" i="12" s="1"/>
  <c r="G216" i="12"/>
  <c r="G215" i="12"/>
  <c r="G214" i="12"/>
  <c r="G213" i="12"/>
  <c r="G212" i="12"/>
  <c r="J212" i="12" s="1"/>
  <c r="G211" i="12"/>
  <c r="G210" i="12"/>
  <c r="G209" i="12"/>
  <c r="G208" i="12"/>
  <c r="G207" i="12"/>
  <c r="J207" i="12" s="1"/>
  <c r="G3" i="12"/>
  <c r="G4" i="12"/>
  <c r="G5" i="12"/>
  <c r="G6" i="12"/>
  <c r="G7" i="12"/>
  <c r="G8" i="12"/>
  <c r="G9" i="12"/>
  <c r="H9" i="12" s="1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K77" i="12"/>
  <c r="G78" i="12"/>
  <c r="K78" i="12"/>
  <c r="G79" i="12"/>
  <c r="K79" i="12"/>
  <c r="G80" i="12"/>
  <c r="K80" i="12"/>
  <c r="G81" i="12"/>
  <c r="K81" i="12"/>
  <c r="G82" i="12"/>
  <c r="K82" i="12"/>
  <c r="G83" i="12"/>
  <c r="K83" i="12"/>
  <c r="G84" i="12"/>
  <c r="K84" i="12"/>
  <c r="G85" i="12"/>
  <c r="K85" i="12"/>
  <c r="G86" i="12"/>
  <c r="K86" i="12"/>
  <c r="G87" i="12"/>
  <c r="K87" i="12"/>
  <c r="G88" i="12"/>
  <c r="K88" i="12"/>
  <c r="G89" i="12"/>
  <c r="K89" i="12"/>
  <c r="G90" i="12"/>
  <c r="K90" i="12"/>
  <c r="G91" i="12"/>
  <c r="K91" i="12"/>
  <c r="G92" i="12"/>
  <c r="K92" i="12"/>
  <c r="G93" i="12"/>
  <c r="K93" i="12"/>
  <c r="G94" i="12"/>
  <c r="K94" i="12"/>
  <c r="G95" i="12"/>
  <c r="K95" i="12"/>
  <c r="G96" i="12"/>
  <c r="K96" i="12"/>
  <c r="G97" i="12"/>
  <c r="K97" i="12"/>
  <c r="G98" i="12"/>
  <c r="K98" i="12"/>
  <c r="G99" i="12"/>
  <c r="K99" i="12"/>
  <c r="G100" i="12"/>
  <c r="K100" i="12"/>
  <c r="G101" i="12"/>
  <c r="K101" i="12"/>
  <c r="G102" i="12"/>
  <c r="K102" i="12"/>
  <c r="G103" i="12"/>
  <c r="K103" i="12"/>
  <c r="G104" i="12"/>
  <c r="K104" i="12"/>
  <c r="G105" i="12"/>
  <c r="K105" i="12"/>
  <c r="G106" i="12"/>
  <c r="K106" i="12"/>
  <c r="G107" i="12"/>
  <c r="K107" i="12"/>
  <c r="G108" i="12"/>
  <c r="K108" i="12"/>
  <c r="G109" i="12"/>
  <c r="K109" i="12"/>
  <c r="G110" i="12"/>
  <c r="K110" i="12"/>
  <c r="G111" i="12"/>
  <c r="K111" i="12"/>
  <c r="G112" i="12"/>
  <c r="K112" i="12"/>
  <c r="G113" i="12"/>
  <c r="K113" i="12"/>
  <c r="G114" i="12"/>
  <c r="K114" i="12"/>
  <c r="G115" i="12"/>
  <c r="K115" i="12"/>
  <c r="G116" i="12"/>
  <c r="H116" i="12" s="1"/>
  <c r="K116" i="12"/>
  <c r="G117" i="12"/>
  <c r="K117" i="12"/>
  <c r="G118" i="12"/>
  <c r="K118" i="12"/>
  <c r="G119" i="12"/>
  <c r="K119" i="12"/>
  <c r="G120" i="12"/>
  <c r="K120" i="12"/>
  <c r="G121" i="12"/>
  <c r="K121" i="12"/>
  <c r="G122" i="12"/>
  <c r="K122" i="12"/>
  <c r="G123" i="12"/>
  <c r="K123" i="12"/>
  <c r="G124" i="12"/>
  <c r="K124" i="12"/>
  <c r="G125" i="12"/>
  <c r="K125" i="12"/>
  <c r="G126" i="12"/>
  <c r="K126" i="12"/>
  <c r="G127" i="12"/>
  <c r="K127" i="12"/>
  <c r="G128" i="12"/>
  <c r="K128" i="12"/>
  <c r="G129" i="12"/>
  <c r="K129" i="12"/>
  <c r="G130" i="12"/>
  <c r="K130" i="12"/>
  <c r="G131" i="12"/>
  <c r="K131" i="12"/>
  <c r="G132" i="12"/>
  <c r="K132" i="12"/>
  <c r="G133" i="12"/>
  <c r="K133" i="12"/>
  <c r="G134" i="12"/>
  <c r="K134" i="12"/>
  <c r="G135" i="12"/>
  <c r="K135" i="12"/>
  <c r="G136" i="12"/>
  <c r="K136" i="12"/>
  <c r="G137" i="12"/>
  <c r="K137" i="12"/>
  <c r="G138" i="12"/>
  <c r="K138" i="12"/>
  <c r="G139" i="12"/>
  <c r="K139" i="12"/>
  <c r="G140" i="12"/>
  <c r="K140" i="12"/>
  <c r="G141" i="12"/>
  <c r="K141" i="12"/>
  <c r="G142" i="12"/>
  <c r="K142" i="12"/>
  <c r="G143" i="12"/>
  <c r="K143" i="12"/>
  <c r="G144" i="12"/>
  <c r="K144" i="12"/>
  <c r="G145" i="12"/>
  <c r="K145" i="12"/>
  <c r="G146" i="12"/>
  <c r="K146" i="12"/>
  <c r="G147" i="12"/>
  <c r="K147" i="12"/>
  <c r="G148" i="12"/>
  <c r="K148" i="12"/>
  <c r="G149" i="12"/>
  <c r="K149" i="12"/>
  <c r="G150" i="12"/>
  <c r="K150" i="12"/>
  <c r="G151" i="12"/>
  <c r="K151" i="12"/>
  <c r="G152" i="12"/>
  <c r="K152" i="12"/>
  <c r="G153" i="12"/>
  <c r="K153" i="12"/>
  <c r="G154" i="12"/>
  <c r="K154" i="12"/>
  <c r="G155" i="12"/>
  <c r="K155" i="12"/>
  <c r="G156" i="12"/>
  <c r="K156" i="12"/>
  <c r="G157" i="12"/>
  <c r="K157" i="12"/>
  <c r="G158" i="12"/>
  <c r="K158" i="12"/>
  <c r="G159" i="12"/>
  <c r="K159" i="12"/>
  <c r="G160" i="12"/>
  <c r="K160" i="12"/>
  <c r="G161" i="12"/>
  <c r="K161" i="12"/>
  <c r="G162" i="12"/>
  <c r="K162" i="12"/>
  <c r="G163" i="12"/>
  <c r="K163" i="12"/>
  <c r="G164" i="12"/>
  <c r="K164" i="12"/>
  <c r="G165" i="12"/>
  <c r="K165" i="12"/>
  <c r="G166" i="12"/>
  <c r="K166" i="12"/>
  <c r="G167" i="12"/>
  <c r="K167" i="12"/>
  <c r="G168" i="12"/>
  <c r="K168" i="12"/>
  <c r="G169" i="12"/>
  <c r="K169" i="12"/>
  <c r="G170" i="12"/>
  <c r="K170" i="12"/>
  <c r="G171" i="12"/>
  <c r="K171" i="12"/>
  <c r="G172" i="12"/>
  <c r="K172" i="12"/>
  <c r="G173" i="12"/>
  <c r="K173" i="12"/>
  <c r="G174" i="12"/>
  <c r="K174" i="12"/>
  <c r="G175" i="12"/>
  <c r="K175" i="12"/>
  <c r="G176" i="12"/>
  <c r="K176" i="12"/>
  <c r="G177" i="12"/>
  <c r="K177" i="12"/>
  <c r="G178" i="12"/>
  <c r="K178" i="12"/>
  <c r="G179" i="12"/>
  <c r="K179" i="12"/>
  <c r="G180" i="12"/>
  <c r="K180" i="12"/>
  <c r="G181" i="12"/>
  <c r="K181" i="12"/>
  <c r="G182" i="12"/>
  <c r="K182" i="12"/>
  <c r="G183" i="12"/>
  <c r="K183" i="12"/>
  <c r="G184" i="12"/>
  <c r="K184" i="12"/>
  <c r="G185" i="12"/>
  <c r="K185" i="12"/>
  <c r="G186" i="12"/>
  <c r="K186" i="12"/>
  <c r="G187" i="12"/>
  <c r="K187" i="12"/>
  <c r="G188" i="12"/>
  <c r="K188" i="12"/>
  <c r="G189" i="12"/>
  <c r="K189" i="12"/>
  <c r="G190" i="12"/>
  <c r="K190" i="12"/>
  <c r="G191" i="12"/>
  <c r="K191" i="12"/>
  <c r="G192" i="12"/>
  <c r="K192" i="12"/>
  <c r="G193" i="12"/>
  <c r="K193" i="12"/>
  <c r="G194" i="12"/>
  <c r="K194" i="12"/>
  <c r="G195" i="12"/>
  <c r="K195" i="12"/>
  <c r="G196" i="12"/>
  <c r="K196" i="12"/>
  <c r="G197" i="12"/>
  <c r="J197" i="12" s="1"/>
  <c r="G198" i="12"/>
  <c r="G199" i="12"/>
  <c r="G200" i="12"/>
  <c r="G201" i="12"/>
  <c r="G202" i="12"/>
  <c r="G203" i="12"/>
  <c r="J203" i="12" s="1"/>
  <c r="G204" i="12"/>
  <c r="J204" i="12" s="1"/>
  <c r="G205" i="12"/>
  <c r="J205" i="12" s="1"/>
  <c r="G206" i="12"/>
  <c r="J206" i="12" s="1"/>
  <c r="H65" i="12" l="1"/>
  <c r="H74" i="12"/>
  <c r="H24" i="12"/>
  <c r="H210" i="12"/>
  <c r="H213" i="12"/>
  <c r="H73" i="12"/>
  <c r="H211" i="12"/>
  <c r="H128" i="12"/>
  <c r="H122" i="12"/>
  <c r="H212" i="12"/>
  <c r="H182" i="12"/>
  <c r="H217" i="12"/>
  <c r="I207" i="12"/>
  <c r="H174" i="12"/>
  <c r="H150" i="12"/>
  <c r="H218" i="12"/>
  <c r="I206" i="12"/>
  <c r="H25" i="12"/>
  <c r="H10" i="12"/>
  <c r="I205" i="12"/>
  <c r="H84" i="12"/>
  <c r="I202" i="12"/>
  <c r="H154" i="12"/>
  <c r="I211" i="12"/>
  <c r="H91" i="12"/>
  <c r="H57" i="12"/>
  <c r="H41" i="12"/>
  <c r="H8" i="12"/>
  <c r="H102" i="12"/>
  <c r="H204" i="12"/>
  <c r="I212" i="12"/>
  <c r="I210" i="12"/>
  <c r="I198" i="12"/>
  <c r="H169" i="12"/>
  <c r="I209" i="12"/>
  <c r="H106" i="12"/>
  <c r="H90" i="12"/>
  <c r="H54" i="12"/>
  <c r="H206" i="12"/>
  <c r="H118" i="12"/>
  <c r="H139" i="12"/>
  <c r="I200" i="12"/>
  <c r="H121" i="12"/>
  <c r="J209" i="12"/>
  <c r="H89" i="12"/>
  <c r="H5" i="12"/>
  <c r="J210" i="12"/>
  <c r="H17" i="12"/>
  <c r="I197" i="12"/>
  <c r="I199" i="12"/>
  <c r="H50" i="12"/>
  <c r="J211" i="12"/>
  <c r="H134" i="12"/>
  <c r="H127" i="12"/>
  <c r="H96" i="12"/>
  <c r="H33" i="12"/>
  <c r="I196" i="12"/>
  <c r="I179" i="12"/>
  <c r="H164" i="12"/>
  <c r="H148" i="12"/>
  <c r="H214" i="12"/>
  <c r="I204" i="12"/>
  <c r="H132" i="12"/>
  <c r="H117" i="12"/>
  <c r="H215" i="12"/>
  <c r="H49" i="12"/>
  <c r="H194" i="12"/>
  <c r="H147" i="12"/>
  <c r="H137" i="12"/>
  <c r="H123" i="12"/>
  <c r="I214" i="12"/>
  <c r="H125" i="12"/>
  <c r="K205" i="12"/>
  <c r="K207" i="12"/>
  <c r="K206" i="12"/>
  <c r="H190" i="12"/>
  <c r="H170" i="12"/>
  <c r="H119" i="12"/>
  <c r="H205" i="12"/>
  <c r="I213" i="12"/>
  <c r="J208" i="12"/>
  <c r="H38" i="12"/>
  <c r="H207" i="12"/>
  <c r="I215" i="12"/>
  <c r="H153" i="12"/>
  <c r="H146" i="12"/>
  <c r="H88" i="12"/>
  <c r="H68" i="12"/>
  <c r="H208" i="12"/>
  <c r="I216" i="12"/>
  <c r="H138" i="12"/>
  <c r="H80" i="12"/>
  <c r="H209" i="12"/>
  <c r="I201" i="12"/>
  <c r="I217" i="12"/>
  <c r="H94" i="12"/>
  <c r="H87" i="12"/>
  <c r="H34" i="12"/>
  <c r="I218" i="12"/>
  <c r="J213" i="12"/>
  <c r="H167" i="12"/>
  <c r="H159" i="12"/>
  <c r="H152" i="12"/>
  <c r="H101" i="12"/>
  <c r="H66" i="12"/>
  <c r="H195" i="12"/>
  <c r="I203" i="12"/>
  <c r="J198" i="12"/>
  <c r="J214" i="12"/>
  <c r="H144" i="12"/>
  <c r="H93" i="12"/>
  <c r="H48" i="12"/>
  <c r="H196" i="12"/>
  <c r="J199" i="12"/>
  <c r="J215" i="12"/>
  <c r="H160" i="12"/>
  <c r="H166" i="12"/>
  <c r="H158" i="12"/>
  <c r="H100" i="12"/>
  <c r="H86" i="12"/>
  <c r="H197" i="12"/>
  <c r="J200" i="12"/>
  <c r="J216" i="12"/>
  <c r="K218" i="12" s="1"/>
  <c r="AJ170" i="12" s="1"/>
  <c r="H149" i="12"/>
  <c r="H107" i="12"/>
  <c r="H198" i="12"/>
  <c r="J201" i="12"/>
  <c r="H165" i="12"/>
  <c r="H155" i="12"/>
  <c r="H85" i="12"/>
  <c r="H199" i="12"/>
  <c r="J202" i="12"/>
  <c r="K204" i="12" s="1"/>
  <c r="H200" i="12"/>
  <c r="H216" i="12"/>
  <c r="I208" i="12"/>
  <c r="H201" i="12"/>
  <c r="H186" i="12"/>
  <c r="H120" i="12"/>
  <c r="H105" i="12"/>
  <c r="H72" i="12"/>
  <c r="H202" i="12"/>
  <c r="H193" i="12"/>
  <c r="H126" i="12"/>
  <c r="H58" i="12"/>
  <c r="H29" i="12"/>
  <c r="H203" i="12"/>
  <c r="I195" i="12"/>
  <c r="H140" i="12"/>
  <c r="H133" i="12"/>
  <c r="H112" i="12"/>
  <c r="H40" i="12"/>
  <c r="H26" i="12"/>
  <c r="H111" i="12"/>
  <c r="H16" i="12"/>
  <c r="H28" i="12"/>
  <c r="H192" i="12"/>
  <c r="H92" i="12"/>
  <c r="H64" i="12"/>
  <c r="I187" i="12"/>
  <c r="H77" i="12"/>
  <c r="H52" i="12"/>
  <c r="H13" i="12"/>
  <c r="H99" i="12"/>
  <c r="H124" i="12"/>
  <c r="H98" i="12"/>
  <c r="H76" i="12"/>
  <c r="H62" i="12"/>
  <c r="H37" i="12"/>
  <c r="H12" i="12"/>
  <c r="H185" i="12"/>
  <c r="H53" i="12"/>
  <c r="H104" i="12"/>
  <c r="H142" i="12"/>
  <c r="H136" i="12"/>
  <c r="H61" i="12"/>
  <c r="H36" i="12"/>
  <c r="H22" i="12"/>
  <c r="H78" i="12"/>
  <c r="H177" i="12"/>
  <c r="H143" i="12"/>
  <c r="H189" i="12"/>
  <c r="I191" i="12"/>
  <c r="I171" i="12"/>
  <c r="H109" i="12"/>
  <c r="H103" i="12"/>
  <c r="H83" i="12"/>
  <c r="H110" i="12"/>
  <c r="H176" i="12"/>
  <c r="H130" i="12"/>
  <c r="H168" i="12"/>
  <c r="H60" i="12"/>
  <c r="H46" i="12"/>
  <c r="H21" i="12"/>
  <c r="H131" i="12"/>
  <c r="H181" i="12"/>
  <c r="I183" i="12"/>
  <c r="I169" i="12"/>
  <c r="H141" i="12"/>
  <c r="H135" i="12"/>
  <c r="H115" i="12"/>
  <c r="H95" i="12"/>
  <c r="H32" i="12"/>
  <c r="H18" i="12"/>
  <c r="H151" i="12"/>
  <c r="H184" i="12"/>
  <c r="I170" i="12"/>
  <c r="H156" i="12"/>
  <c r="H188" i="12"/>
  <c r="H108" i="12"/>
  <c r="H82" i="12"/>
  <c r="H70" i="12"/>
  <c r="H45" i="12"/>
  <c r="H20" i="12"/>
  <c r="H7" i="12"/>
  <c r="H14" i="12"/>
  <c r="H178" i="12"/>
  <c r="H56" i="12"/>
  <c r="H42" i="12"/>
  <c r="I175" i="12"/>
  <c r="H157" i="12"/>
  <c r="I178" i="12"/>
  <c r="H180" i="12"/>
  <c r="H114" i="12"/>
  <c r="H79" i="12"/>
  <c r="H69" i="12"/>
  <c r="H44" i="12"/>
  <c r="H30" i="12"/>
  <c r="K197" i="12"/>
  <c r="H191" i="12"/>
  <c r="H187" i="12"/>
  <c r="H183" i="12"/>
  <c r="H179" i="12"/>
  <c r="H175" i="12"/>
  <c r="H171" i="12"/>
  <c r="H161" i="12"/>
  <c r="H145" i="12"/>
  <c r="H129" i="12"/>
  <c r="H113" i="12"/>
  <c r="H97" i="12"/>
  <c r="H81" i="12"/>
  <c r="H75" i="12"/>
  <c r="H67" i="12"/>
  <c r="H59" i="12"/>
  <c r="H51" i="12"/>
  <c r="H43" i="12"/>
  <c r="H35" i="12"/>
  <c r="H27" i="12"/>
  <c r="H19" i="12"/>
  <c r="H11" i="12"/>
  <c r="I186" i="12"/>
  <c r="I190" i="12"/>
  <c r="I181" i="12"/>
  <c r="I174" i="12"/>
  <c r="I177" i="12"/>
  <c r="H71" i="12"/>
  <c r="H63" i="12"/>
  <c r="H55" i="12"/>
  <c r="H47" i="12"/>
  <c r="H39" i="12"/>
  <c r="H31" i="12"/>
  <c r="H23" i="12"/>
  <c r="H15" i="12"/>
  <c r="I194" i="12"/>
  <c r="I185" i="12"/>
  <c r="H173" i="12"/>
  <c r="H163" i="12"/>
  <c r="H6" i="12"/>
  <c r="I182" i="12"/>
  <c r="I193" i="12"/>
  <c r="I173" i="12"/>
  <c r="I192" i="12"/>
  <c r="I188" i="12"/>
  <c r="I184" i="12"/>
  <c r="I180" i="12"/>
  <c r="I176" i="12"/>
  <c r="I172" i="12"/>
  <c r="I189" i="12"/>
  <c r="H172" i="12"/>
  <c r="H162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F74" i="7"/>
  <c r="E218" i="12" s="1"/>
  <c r="AJ171" i="12" s="1"/>
  <c r="F73" i="7"/>
  <c r="E217" i="12" s="1"/>
  <c r="F72" i="7"/>
  <c r="E216" i="12" s="1"/>
  <c r="F71" i="7"/>
  <c r="E215" i="12" s="1"/>
  <c r="AI171" i="12" s="1"/>
  <c r="F70" i="7"/>
  <c r="E214" i="12" s="1"/>
  <c r="F69" i="7"/>
  <c r="E213" i="12" s="1"/>
  <c r="F68" i="7"/>
  <c r="E212" i="12" s="1"/>
  <c r="AH171" i="12" s="1"/>
  <c r="F67" i="7"/>
  <c r="E211" i="12" s="1"/>
  <c r="F66" i="7"/>
  <c r="E210" i="12" s="1"/>
  <c r="F65" i="7"/>
  <c r="E209" i="12" s="1"/>
  <c r="AG171" i="12" s="1"/>
  <c r="F64" i="7"/>
  <c r="E208" i="12" s="1"/>
  <c r="F63" i="7"/>
  <c r="E207" i="12" s="1"/>
  <c r="K210" i="12" l="1"/>
  <c r="K212" i="12"/>
  <c r="AH170" i="12" s="1"/>
  <c r="K201" i="12"/>
  <c r="K211" i="12"/>
  <c r="K217" i="12"/>
  <c r="K215" i="12"/>
  <c r="AI170" i="12" s="1"/>
  <c r="K214" i="12"/>
  <c r="K203" i="12"/>
  <c r="K216" i="12"/>
  <c r="K200" i="12"/>
  <c r="K209" i="12"/>
  <c r="AG170" i="12" s="1"/>
  <c r="K202" i="12"/>
  <c r="K199" i="12"/>
  <c r="K198" i="12"/>
  <c r="K213" i="12"/>
  <c r="K208" i="12"/>
  <c r="I62" i="7"/>
  <c r="I61" i="7"/>
  <c r="I60" i="7"/>
  <c r="I59" i="7"/>
  <c r="I58" i="7"/>
  <c r="I57" i="7"/>
  <c r="I56" i="7"/>
  <c r="I55" i="7"/>
  <c r="I54" i="7"/>
  <c r="I53" i="7"/>
  <c r="I52" i="7"/>
  <c r="I51" i="7"/>
  <c r="BF100" i="15"/>
  <c r="BF99" i="15"/>
  <c r="BF98" i="15"/>
  <c r="BF97" i="15"/>
  <c r="U82" i="15"/>
  <c r="AB81" i="15"/>
  <c r="U81" i="15"/>
  <c r="AB80" i="15"/>
  <c r="U80" i="15"/>
  <c r="AB79" i="15"/>
  <c r="BF76" i="15"/>
  <c r="BF75" i="15"/>
  <c r="BF74" i="15"/>
  <c r="BF73" i="15"/>
  <c r="BG72" i="15"/>
  <c r="BG71" i="15"/>
  <c r="BG70" i="15"/>
  <c r="O62" i="15"/>
  <c r="F62" i="15"/>
  <c r="O61" i="15"/>
  <c r="F61" i="15"/>
  <c r="O60" i="15"/>
  <c r="F60" i="15"/>
  <c r="CC59" i="15"/>
  <c r="CB59" i="15"/>
  <c r="CA59" i="15"/>
  <c r="BZ59" i="15"/>
  <c r="BY59" i="15"/>
  <c r="BX59" i="15"/>
  <c r="BW59" i="15"/>
  <c r="BV59" i="15"/>
  <c r="BU59" i="15"/>
  <c r="BT59" i="15"/>
  <c r="BS59" i="15"/>
  <c r="BR59" i="15"/>
  <c r="BQ59" i="15"/>
  <c r="BP59" i="15"/>
  <c r="BO59" i="15"/>
  <c r="BN59" i="15"/>
  <c r="X59" i="15"/>
  <c r="O59" i="15"/>
  <c r="F59" i="15"/>
  <c r="CA58" i="15"/>
  <c r="BZ58" i="15"/>
  <c r="BY58" i="15"/>
  <c r="BX58" i="15"/>
  <c r="BW58" i="15"/>
  <c r="BV58" i="15"/>
  <c r="BU58" i="15"/>
  <c r="BT58" i="15"/>
  <c r="BS58" i="15"/>
  <c r="BR58" i="15"/>
  <c r="BQ58" i="15"/>
  <c r="BP58" i="15"/>
  <c r="BO58" i="15"/>
  <c r="BN58" i="15"/>
  <c r="O58" i="15"/>
  <c r="F58" i="15"/>
  <c r="BM57" i="15"/>
  <c r="BM58" i="15" s="1"/>
  <c r="O57" i="15"/>
  <c r="F57" i="15"/>
  <c r="D57" i="15" s="1"/>
  <c r="C57" i="15"/>
  <c r="O56" i="15"/>
  <c r="F56" i="15"/>
  <c r="D56" i="15" s="1"/>
  <c r="C56" i="15"/>
  <c r="O55" i="15"/>
  <c r="F55" i="15"/>
  <c r="D55" i="15" s="1"/>
  <c r="C55" i="15"/>
  <c r="O54" i="15"/>
  <c r="F54" i="15"/>
  <c r="D54" i="15" s="1"/>
  <c r="C54" i="15"/>
  <c r="O53" i="15"/>
  <c r="F53" i="15"/>
  <c r="D53" i="15" s="1"/>
  <c r="C53" i="15"/>
  <c r="O52" i="15"/>
  <c r="H52" i="15"/>
  <c r="F52" i="15"/>
  <c r="D52" i="15" s="1"/>
  <c r="C52" i="15"/>
  <c r="O51" i="15"/>
  <c r="H51" i="15"/>
  <c r="F51" i="15"/>
  <c r="D51" i="15" s="1"/>
  <c r="C51" i="15"/>
  <c r="O50" i="15"/>
  <c r="K50" i="15"/>
  <c r="I50" i="15"/>
  <c r="H50" i="15"/>
  <c r="F50" i="15"/>
  <c r="M50" i="15" s="1"/>
  <c r="C50" i="15"/>
  <c r="O49" i="15"/>
  <c r="K49" i="15"/>
  <c r="I49" i="15"/>
  <c r="H49" i="15"/>
  <c r="F49" i="15"/>
  <c r="M49" i="15" s="1"/>
  <c r="C49" i="15"/>
  <c r="O48" i="15"/>
  <c r="K48" i="15"/>
  <c r="I48" i="15"/>
  <c r="H48" i="15"/>
  <c r="F48" i="15"/>
  <c r="M48" i="15" s="1"/>
  <c r="C48" i="15"/>
  <c r="O47" i="15"/>
  <c r="K47" i="15"/>
  <c r="I47" i="15"/>
  <c r="H47" i="15"/>
  <c r="F47" i="15"/>
  <c r="D47" i="15" s="1"/>
  <c r="C47" i="15"/>
  <c r="O46" i="15"/>
  <c r="M46" i="15"/>
  <c r="K46" i="15"/>
  <c r="I46" i="15"/>
  <c r="H46" i="15"/>
  <c r="D46" i="15"/>
  <c r="M45" i="15"/>
  <c r="K45" i="15"/>
  <c r="I45" i="15"/>
  <c r="H45" i="15"/>
  <c r="D45" i="15"/>
  <c r="C45" i="15"/>
  <c r="M44" i="15"/>
  <c r="K44" i="15"/>
  <c r="I44" i="15"/>
  <c r="H44" i="15"/>
  <c r="D44" i="15"/>
  <c r="C44" i="15"/>
  <c r="M43" i="15"/>
  <c r="K43" i="15"/>
  <c r="I43" i="15"/>
  <c r="H43" i="15"/>
  <c r="M42" i="15"/>
  <c r="K42" i="15"/>
  <c r="I42" i="15"/>
  <c r="H42" i="15"/>
  <c r="M41" i="15"/>
  <c r="K41" i="15"/>
  <c r="I41" i="15"/>
  <c r="H41" i="15"/>
  <c r="M40" i="15"/>
  <c r="K40" i="15"/>
  <c r="I40" i="15"/>
  <c r="H40" i="15"/>
  <c r="M39" i="15"/>
  <c r="I39" i="15"/>
  <c r="H39" i="15"/>
  <c r="M38" i="15"/>
  <c r="K38" i="15"/>
  <c r="I38" i="15"/>
  <c r="M37" i="15"/>
  <c r="K37" i="15"/>
  <c r="I37" i="15"/>
  <c r="B37" i="15"/>
  <c r="M36" i="15"/>
  <c r="K36" i="15"/>
  <c r="I36" i="15"/>
  <c r="B36" i="15"/>
  <c r="BH35" i="15"/>
  <c r="K35" i="15"/>
  <c r="I35" i="15"/>
  <c r="BH34" i="15"/>
  <c r="K34" i="15"/>
  <c r="I34" i="15"/>
  <c r="BH33" i="15"/>
  <c r="K33" i="15"/>
  <c r="I33" i="15"/>
  <c r="BH32" i="15"/>
  <c r="I32" i="15"/>
  <c r="BH31" i="15"/>
  <c r="I31" i="15"/>
  <c r="BH30" i="15"/>
  <c r="I30" i="15"/>
  <c r="BH29" i="15"/>
  <c r="I29" i="15"/>
  <c r="BH28" i="15"/>
  <c r="I28" i="15"/>
  <c r="BH27" i="15"/>
  <c r="I27" i="15"/>
  <c r="BH26" i="15"/>
  <c r="M26" i="15"/>
  <c r="I26" i="15"/>
  <c r="BH25" i="15"/>
  <c r="M25" i="15"/>
  <c r="I25" i="15"/>
  <c r="BH24" i="15"/>
  <c r="M24" i="15"/>
  <c r="I24" i="15"/>
  <c r="B24" i="15"/>
  <c r="BH23" i="15"/>
  <c r="N23" i="15"/>
  <c r="M23" i="15"/>
  <c r="I23" i="15"/>
  <c r="BH22" i="15"/>
  <c r="N22" i="15"/>
  <c r="M22" i="15"/>
  <c r="I22" i="15"/>
  <c r="BH21" i="15"/>
  <c r="I21" i="15"/>
  <c r="BH20" i="15"/>
  <c r="I20" i="15"/>
  <c r="BH19" i="15"/>
  <c r="I19" i="15"/>
  <c r="BH18" i="15"/>
  <c r="I18" i="15"/>
  <c r="BH17" i="15"/>
  <c r="M17" i="15"/>
  <c r="I17" i="15"/>
  <c r="BH16" i="15"/>
  <c r="M16" i="15"/>
  <c r="I16" i="15"/>
  <c r="BH15" i="15"/>
  <c r="I15" i="15"/>
  <c r="BH14" i="15"/>
  <c r="I14" i="15"/>
  <c r="BH13" i="15"/>
  <c r="I13" i="15"/>
  <c r="BH12" i="15"/>
  <c r="I12" i="15"/>
  <c r="BH11" i="15"/>
  <c r="I11" i="15"/>
  <c r="BH10" i="15"/>
  <c r="I10" i="15"/>
  <c r="BH9" i="15"/>
  <c r="I9" i="15"/>
  <c r="BH8" i="15"/>
  <c r="I8" i="15"/>
  <c r="BH7" i="15"/>
  <c r="I7" i="15"/>
  <c r="BH6" i="15"/>
  <c r="I6" i="15"/>
  <c r="BH5" i="15"/>
  <c r="I5" i="15"/>
  <c r="BH4" i="15"/>
  <c r="BH3" i="15"/>
  <c r="D49" i="15" l="1"/>
  <c r="D50" i="15"/>
  <c r="D48" i="15"/>
  <c r="F64" i="15"/>
  <c r="M47" i="15"/>
  <c r="C57" i="7"/>
  <c r="C56" i="7"/>
  <c r="C55" i="7"/>
  <c r="C54" i="7"/>
  <c r="C52" i="7"/>
  <c r="C51" i="7"/>
  <c r="V171" i="12" l="1"/>
  <c r="U171" i="12"/>
  <c r="T171" i="12"/>
  <c r="S171" i="12"/>
  <c r="R171" i="12"/>
  <c r="Q171" i="12"/>
  <c r="P171" i="12"/>
  <c r="O171" i="12"/>
  <c r="C206" i="12" l="1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E179" i="12"/>
  <c r="W171" i="12" s="1"/>
  <c r="E178" i="12"/>
  <c r="C185" i="12" l="1"/>
  <c r="C184" i="12"/>
  <c r="C183" i="12"/>
  <c r="F17" i="13" l="1"/>
  <c r="E17" i="13"/>
  <c r="S186" i="13"/>
  <c r="L185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179" i="13"/>
  <c r="L180" i="13"/>
  <c r="L181" i="13"/>
  <c r="L182" i="13"/>
  <c r="L183" i="13"/>
  <c r="L184" i="13"/>
  <c r="AF170" i="12" l="1"/>
  <c r="AC170" i="12"/>
  <c r="AE170" i="12"/>
  <c r="AD170" i="12"/>
  <c r="F62" i="7"/>
  <c r="E206" i="12" s="1"/>
  <c r="AF171" i="12" s="1"/>
  <c r="F61" i="7"/>
  <c r="E205" i="12" s="1"/>
  <c r="F60" i="7"/>
  <c r="E204" i="12" s="1"/>
  <c r="F59" i="7"/>
  <c r="E203" i="12" s="1"/>
  <c r="AE171" i="12" s="1"/>
  <c r="F58" i="7"/>
  <c r="E202" i="12" s="1"/>
  <c r="F57" i="7"/>
  <c r="F56" i="7"/>
  <c r="F55" i="7"/>
  <c r="F54" i="7"/>
  <c r="F53" i="7"/>
  <c r="F52" i="7"/>
  <c r="F51" i="7"/>
  <c r="E200" i="12" l="1"/>
  <c r="AD171" i="12" s="1"/>
  <c r="D56" i="7"/>
  <c r="E201" i="12"/>
  <c r="D57" i="7"/>
  <c r="E195" i="12"/>
  <c r="D51" i="7"/>
  <c r="E196" i="12"/>
  <c r="D52" i="7"/>
  <c r="E197" i="12"/>
  <c r="AC171" i="12" s="1"/>
  <c r="D53" i="7"/>
  <c r="E198" i="12"/>
  <c r="D54" i="7"/>
  <c r="E199" i="12"/>
  <c r="D55" i="7"/>
  <c r="X170" i="12" l="1"/>
  <c r="O170" i="12"/>
  <c r="P170" i="12"/>
  <c r="Q170" i="12"/>
  <c r="R170" i="12"/>
  <c r="S170" i="12"/>
  <c r="T170" i="12"/>
  <c r="U170" i="12"/>
  <c r="V170" i="12"/>
  <c r="W170" i="12"/>
  <c r="E182" i="12" l="1"/>
  <c r="X171" i="12" s="1"/>
  <c r="E181" i="12" l="1"/>
  <c r="I50" i="7" l="1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11" i="7"/>
  <c r="I10" i="7"/>
  <c r="I9" i="7"/>
  <c r="I8" i="7"/>
  <c r="I7" i="7"/>
  <c r="I6" i="7"/>
  <c r="I5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E193" i="12" l="1"/>
  <c r="E194" i="12"/>
  <c r="AB171" i="12" s="1"/>
  <c r="C182" i="12"/>
  <c r="C179" i="12"/>
  <c r="C178" i="12"/>
  <c r="C177" i="12"/>
  <c r="C176" i="12"/>
  <c r="C175" i="12"/>
  <c r="C174" i="12"/>
  <c r="C173" i="12"/>
  <c r="C172" i="12"/>
  <c r="C171" i="12"/>
  <c r="C180" i="12" l="1"/>
  <c r="C181" i="12" l="1"/>
  <c r="E192" i="12" l="1"/>
  <c r="AA170" i="12" l="1"/>
  <c r="Y170" i="12"/>
  <c r="AB170" i="12"/>
  <c r="Z170" i="12"/>
  <c r="C3" i="12" l="1"/>
  <c r="D3" i="12" s="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D4" i="12" l="1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D118" i="12" s="1"/>
  <c r="D119" i="12" s="1"/>
  <c r="D120" i="12" s="1"/>
  <c r="D121" i="12" s="1"/>
  <c r="D122" i="12" s="1"/>
  <c r="D123" i="12" s="1"/>
  <c r="D124" i="12" s="1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D176" i="12" s="1"/>
  <c r="D177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 s="1"/>
  <c r="D218" i="12" s="1"/>
  <c r="E180" i="12" l="1"/>
  <c r="E189" i="12" l="1"/>
  <c r="E190" i="12"/>
  <c r="E188" i="12"/>
  <c r="Z171" i="12" s="1"/>
  <c r="E191" i="12"/>
  <c r="AA171" i="12" s="1"/>
  <c r="E187" i="12"/>
  <c r="E184" i="12"/>
  <c r="E186" i="12"/>
  <c r="E183" i="12"/>
  <c r="E185" i="12"/>
  <c r="Y171" i="12" s="1"/>
  <c r="B24" i="7"/>
  <c r="A2" i="8" l="1" a="1"/>
  <c r="A2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f" description="Соединение с запросом &quot;f&quot; в книге." type="5" refreshedVersion="0" background="1">
    <dbPr connection="Provider=Microsoft.Mashup.OleDb.1;Data Source=$Workbook$;Location=f;Extended Properties=&quot;&quot;" command="SELECT * FROM [f]"/>
  </connection>
  <connection id="2" xr16:uid="{00000000-0015-0000-FFFF-FFFF01000000}" keepAlive="1" name="Запрос — SA" description="Соединение с запросом &quot;SA&quot; в книге." type="5" refreshedVersion="0" background="1">
    <dbPr connection="Provider=Microsoft.Mashup.OleDb.1;Data Source=$Workbook$;Location=SA;Extended Properties=&quot;&quot;" command="SELECT * FROM [SA]"/>
  </connection>
  <connection id="3" xr16:uid="{00000000-0015-0000-FFFF-FFFF02000000}" keepAlive="1" name="Запрос — YoY__100" description="Соединение с запросом &quot;YoY__100&quot; в книге." type="5" refreshedVersion="0" background="1">
    <dbPr connection="Provider=Microsoft.Mashup.OleDb.1;Data Source=$Workbook$;Location=YoY__100;Extended Properties=&quot;&quot;" command="SELECT * FROM [YoY__100]"/>
  </connection>
  <connection id="4" xr16:uid="{00000000-0015-0000-FFFF-FFFF03000000}" keepAlive="1" name="Запрос — YoY_in1" description="Соединение с запросом &quot;YoY_in1&quot; в книге." type="5" refreshedVersion="0" background="1">
    <dbPr connection="Provider=Microsoft.Mashup.OleDb.1;Data Source=$Workbook$;Location=YoY_in1;Extended Properties=&quot;&quot;" command="SELECT * FROM [YoY_in1]"/>
  </connection>
  <connection id="5" xr16:uid="{00000000-0015-0000-FFFF-FFFF04000000}" keepAlive="1" name="Запрос — Таблица1" description="Соединение с запросом &quot;Таблица1&quot; в книге." type="5" refreshedVersion="6" background="1" saveData="1">
    <dbPr connection="Provider=Microsoft.Mashup.OleDb.1;Data Source=$Workbook$;Location=Таблица1;Extended Properties=&quot;&quot;" command="SELECT * FROM [Таблица1]"/>
  </connection>
  <connection id="6" xr16:uid="{00000000-0015-0000-FFFF-FFFF05000000}" keepAlive="1" name="Запрос — Таблица1 (2)" description="Соединение с запросом &quot;Таблица1 (2)&quot; в книге." type="5" refreshedVersion="6" background="1">
    <dbPr connection="Provider=Microsoft.Mashup.OleDb.1;Data Source=$Workbook$;Location=Таблица1 (2);Extended Properties=&quot;&quot;" command="SELECT * FROM [Таблица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<sst xmlns="http://schemas.openxmlformats.org/spreadsheetml/2006/main" count="114" uniqueCount="64">
  <si>
    <t>Дата</t>
  </si>
  <si>
    <t>MoM</t>
  </si>
  <si>
    <t>YoY</t>
  </si>
  <si>
    <t>Значение</t>
  </si>
  <si>
    <t>YoY_Old</t>
  </si>
  <si>
    <t>БР</t>
  </si>
  <si>
    <t>Прогнозный МоМ</t>
  </si>
  <si>
    <t>Прогнозный YoY</t>
  </si>
  <si>
    <t>YoY разница</t>
  </si>
  <si>
    <t>MoM разница</t>
  </si>
  <si>
    <t>Ростов MoM</t>
  </si>
  <si>
    <t>Ростов YoY</t>
  </si>
  <si>
    <t>Проды</t>
  </si>
  <si>
    <t>Непроды</t>
  </si>
  <si>
    <t>Услуги</t>
  </si>
  <si>
    <t>МоМ</t>
  </si>
  <si>
    <t>Date</t>
  </si>
  <si>
    <t>IPC_BASE</t>
  </si>
  <si>
    <t>MoMF</t>
  </si>
  <si>
    <t>IPC_BASE_SA</t>
  </si>
  <si>
    <t>IPC_BASE_SA 2 IPC SA</t>
  </si>
  <si>
    <t>3MMASAAR</t>
  </si>
  <si>
    <t>YoYSA</t>
  </si>
  <si>
    <t>MoM_Old</t>
  </si>
  <si>
    <t>I кв.</t>
  </si>
  <si>
    <t>II кв.</t>
  </si>
  <si>
    <t>III кв.</t>
  </si>
  <si>
    <t>IV кв.</t>
  </si>
  <si>
    <t>Медиана</t>
  </si>
  <si>
    <t>Дисперсия</t>
  </si>
  <si>
    <t>Средняя</t>
  </si>
  <si>
    <t>4-4,5</t>
  </si>
  <si>
    <t>3mmasaar</t>
  </si>
  <si>
    <t>Ростов MoM New</t>
  </si>
  <si>
    <t>Ростов YoY
New</t>
  </si>
  <si>
    <t>3mma ar</t>
  </si>
  <si>
    <t>3 mma</t>
  </si>
  <si>
    <t>Ростов + 1 нед октября</t>
  </si>
  <si>
    <t>ВВГУ MomSA</t>
  </si>
  <si>
    <t>ВВГУ 3mmsaar</t>
  </si>
  <si>
    <t>1 вер mom</t>
  </si>
  <si>
    <t>1 вер yoy</t>
  </si>
  <si>
    <t>Столбец1</t>
  </si>
  <si>
    <t>Day</t>
  </si>
  <si>
    <t>Средн</t>
  </si>
  <si>
    <t>dnd</t>
  </si>
  <si>
    <t>Seasonally adjusted</t>
  </si>
  <si>
    <t>ensemble_best_config</t>
  </si>
  <si>
    <t>xgboost_iqr</t>
  </si>
  <si>
    <t>vecm</t>
  </si>
  <si>
    <t>var_iqr</t>
  </si>
  <si>
    <t>sarima_simple_iqr</t>
  </si>
  <si>
    <t>sarima_simple</t>
  </si>
  <si>
    <t>sarima_component_iqr</t>
  </si>
  <si>
    <t>sarima_component</t>
  </si>
  <si>
    <t>prophet_iqr</t>
  </si>
  <si>
    <t>lstm_iqr</t>
  </si>
  <si>
    <t>lstm</t>
  </si>
  <si>
    <t>hybrid_var_xgb</t>
  </si>
  <si>
    <t>favar_iqr</t>
  </si>
  <si>
    <t>dfm_iqr</t>
  </si>
  <si>
    <t>bvar</t>
  </si>
  <si>
    <t>mom</t>
  </si>
  <si>
    <t>Доклад 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</si>
</sst>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1"/>
    <xf numFmtId="0" fontId="6" fillId="0" borderId="0" xfId="1" applyAlignment="1">
      <alignment horizontal="center" vertical="center"/>
    </xf>
    <xf numFmtId="164" fontId="6" fillId="0" borderId="0" xfId="1" applyNumberForma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3" fontId="1" fillId="0" borderId="0" xfId="0" applyNumberFormat="1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4" fontId="0" fillId="0" borderId="7" xfId="0" applyNumberFormat="1" applyBorder="1"/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8" fillId="0" borderId="0" xfId="0" applyFont="1"/>
    <xf numFmtId="0" fontId="0" fillId="3" borderId="0" xfId="0" applyFill="1" applyAlignment="1">
      <alignment horizontal="center"/>
    </xf>
    <xf numFmtId="2" fontId="1" fillId="3" borderId="0" xfId="0" applyNumberFormat="1" applyFont="1" applyFill="1" applyAlignment="1">
      <alignment horizontal="center" vertical="center"/>
    </xf>
    <xf numFmtId="14" fontId="11" fillId="5" borderId="0" xfId="5" applyNumberFormat="1" applyAlignment="1">
      <alignment horizontal="center" vertical="center"/>
    </xf>
    <xf numFmtId="14" fontId="10" fillId="4" borderId="0" xfId="4" applyNumberFormat="1" applyAlignment="1">
      <alignment horizontal="center" vertical="center"/>
    </xf>
    <xf numFmtId="2" fontId="11" fillId="5" borderId="0" xfId="5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 applyAlignment="1">
      <alignment vertical="center" wrapText="1"/>
    </xf>
    <xf numFmtId="164" fontId="0" fillId="0" borderId="0" xfId="0" applyNumberFormat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 vertical="center"/>
    </xf>
    <xf numFmtId="2" fontId="5" fillId="4" borderId="0" xfId="4" applyNumberFormat="1" applyFont="1" applyAlignment="1">
      <alignment horizontal="center"/>
    </xf>
    <xf numFmtId="14" fontId="1" fillId="0" borderId="6" xfId="0" applyNumberFormat="1" applyFont="1" applyBorder="1" applyAlignment="1">
      <alignment horizontal="center" wrapText="1"/>
    </xf>
    <xf numFmtId="14" fontId="1" fillId="0" borderId="6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2" fontId="12" fillId="0" borderId="6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 wrapText="1"/>
    </xf>
    <xf numFmtId="14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/>
    </xf>
    <xf numFmtId="2" fontId="11" fillId="5" borderId="6" xfId="5" applyNumberFormat="1" applyBorder="1" applyAlignment="1">
      <alignment horizontal="center"/>
    </xf>
    <xf numFmtId="0" fontId="7" fillId="0" borderId="6" xfId="0" applyFont="1" applyBorder="1" applyAlignment="1">
      <alignment wrapText="1"/>
    </xf>
    <xf numFmtId="0" fontId="0" fillId="0" borderId="6" xfId="0" applyBorder="1"/>
    <xf numFmtId="2" fontId="7" fillId="0" borderId="6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 wrapText="1"/>
    </xf>
    <xf numFmtId="2" fontId="12" fillId="0" borderId="8" xfId="0" applyNumberFormat="1" applyFont="1" applyBorder="1" applyAlignment="1">
      <alignment horizontal="center"/>
    </xf>
    <xf numFmtId="2" fontId="11" fillId="5" borderId="8" xfId="5" applyNumberFormat="1" applyBorder="1" applyAlignment="1">
      <alignment horizontal="center"/>
    </xf>
    <xf numFmtId="14" fontId="1" fillId="0" borderId="9" xfId="0" applyNumberFormat="1" applyFont="1" applyBorder="1" applyAlignment="1">
      <alignment horizontal="center" wrapText="1"/>
    </xf>
    <xf numFmtId="2" fontId="1" fillId="0" borderId="9" xfId="0" applyNumberFormat="1" applyFont="1" applyBorder="1" applyAlignment="1">
      <alignment horizontal="center"/>
    </xf>
    <xf numFmtId="2" fontId="12" fillId="0" borderId="9" xfId="0" applyNumberFormat="1" applyFont="1" applyBorder="1" applyAlignment="1">
      <alignment horizontal="center"/>
    </xf>
    <xf numFmtId="2" fontId="11" fillId="5" borderId="9" xfId="5" applyNumberForma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2" fontId="12" fillId="0" borderId="11" xfId="0" applyNumberFormat="1" applyFont="1" applyBorder="1" applyAlignment="1">
      <alignment horizontal="center"/>
    </xf>
    <xf numFmtId="2" fontId="11" fillId="5" borderId="11" xfId="5" applyNumberFormat="1" applyBorder="1" applyAlignment="1">
      <alignment horizontal="center"/>
    </xf>
    <xf numFmtId="43" fontId="1" fillId="0" borderId="12" xfId="0" applyNumberFormat="1" applyFont="1" applyBorder="1" applyAlignment="1">
      <alignment horizontal="center"/>
    </xf>
    <xf numFmtId="2" fontId="11" fillId="5" borderId="12" xfId="5" applyNumberForma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5" fillId="4" borderId="12" xfId="4" applyNumberFormat="1" applyFont="1" applyBorder="1" applyAlignment="1">
      <alignment horizontal="center"/>
    </xf>
    <xf numFmtId="2" fontId="11" fillId="5" borderId="13" xfId="5" applyNumberForma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11" fillId="6" borderId="12" xfId="5" applyNumberForma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2" fontId="0" fillId="0" borderId="8" xfId="0" applyNumberFormat="1" applyBorder="1" applyAlignment="1">
      <alignment horizontal="center"/>
    </xf>
    <xf numFmtId="0" fontId="0" fillId="7" borderId="1" xfId="0" applyFill="1" applyBorder="1"/>
    <xf numFmtId="0" fontId="0" fillId="0" borderId="1" xfId="0" applyBorder="1"/>
    <xf numFmtId="2" fontId="0" fillId="0" borderId="0" xfId="0" applyNumberFormat="1" applyAlignment="1">
      <alignment vertical="center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2" fontId="1" fillId="6" borderId="6" xfId="0" applyNumberFormat="1" applyFont="1" applyFill="1" applyBorder="1" applyAlignment="1">
      <alignment horizontal="center"/>
    </xf>
    <xf numFmtId="2" fontId="5" fillId="0" borderId="0" xfId="4" applyNumberFormat="1" applyFont="1" applyFill="1" applyAlignment="1">
      <alignment horizontal="center"/>
    </xf>
    <xf numFmtId="2" fontId="5" fillId="0" borderId="12" xfId="4" applyNumberFormat="1" applyFont="1" applyFill="1" applyBorder="1" applyAlignment="1">
      <alignment horizontal="center"/>
    </xf>
    <xf numFmtId="14" fontId="0" fillId="7" borderId="7" xfId="0" applyNumberFormat="1" applyFill="1" applyBorder="1"/>
    <xf numFmtId="0" fontId="0" fillId="0" borderId="0" xfId="0" applyAlignment="1">
      <alignment horizontal="center" wrapText="1"/>
    </xf>
    <xf numFmtId="164" fontId="0" fillId="0" borderId="0" xfId="0" applyNumberFormat="1" applyAlignment="1">
      <alignment wrapText="1"/>
    </xf>
    <xf numFmtId="2" fontId="1" fillId="6" borderId="0" xfId="0" applyNumberFormat="1" applyFont="1" applyFill="1" applyAlignment="1">
      <alignment horizontal="center" vertical="center"/>
    </xf>
    <xf numFmtId="2" fontId="1" fillId="8" borderId="6" xfId="0" applyNumberFormat="1" applyFont="1" applyFill="1" applyBorder="1" applyAlignment="1">
      <alignment horizontal="center"/>
    </xf>
    <xf numFmtId="2" fontId="1" fillId="6" borderId="8" xfId="0" applyNumberFormat="1" applyFont="1" applyFill="1" applyBorder="1" applyAlignment="1">
      <alignment horizontal="center"/>
    </xf>
    <xf numFmtId="2" fontId="1" fillId="6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1" fillId="6" borderId="0" xfId="0" applyNumberFormat="1" applyFont="1" applyFill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2" fontId="13" fillId="0" borderId="8" xfId="0" applyNumberFormat="1" applyFont="1" applyBorder="1" applyAlignment="1">
      <alignment horizontal="center"/>
    </xf>
    <xf numFmtId="2" fontId="13" fillId="0" borderId="8" xfId="0" applyNumberFormat="1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14" fontId="7" fillId="4" borderId="0" xfId="4" applyNumberFormat="1" applyFont="1" applyAlignment="1">
      <alignment horizontal="center" vertical="center"/>
    </xf>
  </cellXfs>
  <cellStyles count="6">
    <cellStyle name="Обычный" xfId="0" builtinId="0"/>
    <cellStyle name="Обычный 2" xfId="1" xr:uid="{00000000-0005-0000-0000-000001000000}"/>
    <cellStyle name="Обычный 2 2" xfId="3" xr:uid="{00000000-0005-0000-0000-000002000000}"/>
    <cellStyle name="Плохой" xfId="5" builtinId="27"/>
    <cellStyle name="Процентный 2" xfId="2" xr:uid="{00000000-0005-0000-0000-000004000000}"/>
    <cellStyle name="Хороший" xfId="4" builtinId="26"/>
  </cellStyles>
  <dxfs count="6"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'Прогноз (2)'!$F$2</c:f>
              <c:strCache>
                <c:ptCount val="1"/>
                <c:pt idx="0">
                  <c:v>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'Прогноз (2)'!$A$36:$A$62</c:f>
              <c:numCache>
                <c:formatCode>m/d/yyyy</c:formatCode>
                <c:ptCount val="27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  <c:pt idx="13">
                  <c:v>45962</c:v>
                </c:pt>
                <c:pt idx="14">
                  <c:v>45992</c:v>
                </c:pt>
                <c:pt idx="15">
                  <c:v>46023</c:v>
                </c:pt>
                <c:pt idx="16">
                  <c:v>46054</c:v>
                </c:pt>
                <c:pt idx="17">
                  <c:v>46082</c:v>
                </c:pt>
                <c:pt idx="18">
                  <c:v>46113</c:v>
                </c:pt>
                <c:pt idx="19">
                  <c:v>46143</c:v>
                </c:pt>
                <c:pt idx="20">
                  <c:v>46174</c:v>
                </c:pt>
                <c:pt idx="21">
                  <c:v>46204</c:v>
                </c:pt>
                <c:pt idx="22">
                  <c:v>46235</c:v>
                </c:pt>
                <c:pt idx="23">
                  <c:v>46266</c:v>
                </c:pt>
                <c:pt idx="24">
                  <c:v>46296</c:v>
                </c:pt>
                <c:pt idx="25">
                  <c:v>46327</c:v>
                </c:pt>
                <c:pt idx="26">
                  <c:v>46357</c:v>
                </c:pt>
              </c:numCache>
            </c:numRef>
          </c:cat>
          <c:val>
            <c:numRef>
              <c:f>'Прогноз (2)'!$F$36:$F$62</c:f>
              <c:numCache>
                <c:formatCode>0.00</c:formatCode>
                <c:ptCount val="27"/>
                <c:pt idx="0">
                  <c:v>107.49</c:v>
                </c:pt>
                <c:pt idx="1">
                  <c:v>108.31</c:v>
                </c:pt>
                <c:pt idx="2">
                  <c:v>108.98</c:v>
                </c:pt>
                <c:pt idx="3">
                  <c:v>108.95</c:v>
                </c:pt>
                <c:pt idx="4">
                  <c:v>109.83</c:v>
                </c:pt>
                <c:pt idx="5">
                  <c:v>110.13</c:v>
                </c:pt>
                <c:pt idx="6">
                  <c:v>110.3</c:v>
                </c:pt>
                <c:pt idx="7">
                  <c:v>109.2</c:v>
                </c:pt>
                <c:pt idx="8">
                  <c:v>108.96</c:v>
                </c:pt>
                <c:pt idx="9">
                  <c:v>108.19</c:v>
                </c:pt>
                <c:pt idx="10">
                  <c:v>107.48</c:v>
                </c:pt>
                <c:pt idx="11">
                  <c:v>107.88</c:v>
                </c:pt>
                <c:pt idx="12">
                  <c:v>107.36</c:v>
                </c:pt>
                <c:pt idx="13">
                  <c:v>105.98</c:v>
                </c:pt>
                <c:pt idx="14">
                  <c:v>105.71</c:v>
                </c:pt>
                <c:pt idx="15">
                  <c:v>105.51</c:v>
                </c:pt>
                <c:pt idx="16">
                  <c:v>104.82</c:v>
                </c:pt>
                <c:pt idx="17">
                  <c:v>104.48</c:v>
                </c:pt>
                <c:pt idx="18">
                  <c:v>104.45</c:v>
                </c:pt>
                <c:pt idx="19">
                  <c:v>104.82</c:v>
                </c:pt>
                <c:pt idx="20">
                  <c:v>104.93</c:v>
                </c:pt>
                <c:pt idx="21">
                  <c:v>104.97</c:v>
                </c:pt>
                <c:pt idx="22">
                  <c:v>105.38</c:v>
                </c:pt>
                <c:pt idx="23">
                  <c:v>104.41</c:v>
                </c:pt>
                <c:pt idx="24">
                  <c:v>104.17</c:v>
                </c:pt>
                <c:pt idx="25">
                  <c:v>104.48</c:v>
                </c:pt>
                <c:pt idx="26">
                  <c:v>104.22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E8-408F-9A44-612A15742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1686047"/>
        <c:axId val="116028047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'Прогноз (2)'!$E$2</c15:sqref>
                        </c15:formulaRef>
                      </c:ext>
                    </c:extLst>
                    <c:strCache>
                      <c:ptCount val="1"/>
                      <c:pt idx="0">
                        <c:v>MoM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'Прогноз (2)'!$A$36:$A$62</c15:sqref>
                        </c15:formulaRef>
                      </c:ext>
                    </c:extLst>
                    <c:numCache>
                      <c:formatCode>m/d/yyyy</c:formatCode>
                      <c:ptCount val="27"/>
                      <c:pt idx="0">
                        <c:v>45566</c:v>
                      </c:pt>
                      <c:pt idx="1">
                        <c:v>45597</c:v>
                      </c:pt>
                      <c:pt idx="2">
                        <c:v>45627</c:v>
                      </c:pt>
                      <c:pt idx="3">
                        <c:v>45658</c:v>
                      </c:pt>
                      <c:pt idx="4">
                        <c:v>45689</c:v>
                      </c:pt>
                      <c:pt idx="5">
                        <c:v>45717</c:v>
                      </c:pt>
                      <c:pt idx="6">
                        <c:v>45748</c:v>
                      </c:pt>
                      <c:pt idx="7">
                        <c:v>45778</c:v>
                      </c:pt>
                      <c:pt idx="8">
                        <c:v>45809</c:v>
                      </c:pt>
                      <c:pt idx="9">
                        <c:v>45839</c:v>
                      </c:pt>
                      <c:pt idx="10">
                        <c:v>45870</c:v>
                      </c:pt>
                      <c:pt idx="11">
                        <c:v>45901</c:v>
                      </c:pt>
                      <c:pt idx="12">
                        <c:v>45931</c:v>
                      </c:pt>
                      <c:pt idx="13">
                        <c:v>45962</c:v>
                      </c:pt>
                      <c:pt idx="14">
                        <c:v>45992</c:v>
                      </c:pt>
                      <c:pt idx="15">
                        <c:v>46023</c:v>
                      </c:pt>
                      <c:pt idx="16">
                        <c:v>46054</c:v>
                      </c:pt>
                      <c:pt idx="17">
                        <c:v>46082</c:v>
                      </c:pt>
                      <c:pt idx="18">
                        <c:v>46113</c:v>
                      </c:pt>
                      <c:pt idx="19">
                        <c:v>46143</c:v>
                      </c:pt>
                      <c:pt idx="20">
                        <c:v>46174</c:v>
                      </c:pt>
                      <c:pt idx="21">
                        <c:v>46204</c:v>
                      </c:pt>
                      <c:pt idx="22">
                        <c:v>46235</c:v>
                      </c:pt>
                      <c:pt idx="23">
                        <c:v>46266</c:v>
                      </c:pt>
                      <c:pt idx="24">
                        <c:v>46296</c:v>
                      </c:pt>
                      <c:pt idx="25">
                        <c:v>46327</c:v>
                      </c:pt>
                      <c:pt idx="26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'Прогноз (2)'!$E$7:$E$38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100.68</c:v>
                      </c:pt>
                      <c:pt idx="1">
                        <c:v>99.32</c:v>
                      </c:pt>
                      <c:pt idx="2">
                        <c:v>99.23</c:v>
                      </c:pt>
                      <c:pt idx="3">
                        <c:v>99.43</c:v>
                      </c:pt>
                      <c:pt idx="4">
                        <c:v>100.33</c:v>
                      </c:pt>
                      <c:pt idx="5">
                        <c:v>100.66</c:v>
                      </c:pt>
                      <c:pt idx="6">
                        <c:v>100.26</c:v>
                      </c:pt>
                      <c:pt idx="7">
                        <c:v>100.57</c:v>
                      </c:pt>
                      <c:pt idx="8">
                        <c:v>101.13</c:v>
                      </c:pt>
                      <c:pt idx="9" formatCode="0.00">
                        <c:v>100.75</c:v>
                      </c:pt>
                      <c:pt idx="10">
                        <c:v>100.39</c:v>
                      </c:pt>
                      <c:pt idx="11" formatCode="0.00">
                        <c:v>100.72</c:v>
                      </c:pt>
                      <c:pt idx="12" formatCode="0.00">
                        <c:v>99.75</c:v>
                      </c:pt>
                      <c:pt idx="13" formatCode="0.00">
                        <c:v>100.43</c:v>
                      </c:pt>
                      <c:pt idx="14" formatCode="0.00">
                        <c:v>100.5</c:v>
                      </c:pt>
                      <c:pt idx="15" formatCode="0.00">
                        <c:v>99.93</c:v>
                      </c:pt>
                      <c:pt idx="16" formatCode="0.00">
                        <c:v>101.75</c:v>
                      </c:pt>
                      <c:pt idx="17" formatCode="0.00">
                        <c:v>100.46</c:v>
                      </c:pt>
                      <c:pt idx="18" formatCode="0.00">
                        <c:v>100.74</c:v>
                      </c:pt>
                      <c:pt idx="19" formatCode="0.00">
                        <c:v>100.29</c:v>
                      </c:pt>
                      <c:pt idx="20" formatCode="0.00">
                        <c:v>100.87</c:v>
                      </c:pt>
                      <c:pt idx="21" formatCode="0.00">
                        <c:v>100.53</c:v>
                      </c:pt>
                      <c:pt idx="22" formatCode="0.00">
                        <c:v>100.53</c:v>
                      </c:pt>
                      <c:pt idx="23">
                        <c:v>100.38</c:v>
                      </c:pt>
                      <c:pt idx="24">
                        <c:v>100.94</c:v>
                      </c:pt>
                      <c:pt idx="25">
                        <c:v>100.18</c:v>
                      </c:pt>
                      <c:pt idx="26">
                        <c:v>101.07</c:v>
                      </c:pt>
                      <c:pt idx="27" formatCode="0.00">
                        <c:v>100.09</c:v>
                      </c:pt>
                      <c:pt idx="28">
                        <c:v>100.62</c:v>
                      </c:pt>
                      <c:pt idx="29" formatCode="0.00">
                        <c:v>101.02</c:v>
                      </c:pt>
                      <c:pt idx="30" formatCode="0.00">
                        <c:v>101.5</c:v>
                      </c:pt>
                      <c:pt idx="31" formatCode="0.00">
                        <c:v>100.91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8E8-408F-9A44-612A15742BF7}"/>
                  </c:ext>
                </c:extLst>
              </c15:ser>
            </c15:filteredLineSeries>
          </c:ext>
        </c:extLst>
      </c:lineChart>
      <c:lineChart>
        <c:grouping val="stacked"/>
        <c:varyColors val="0"/>
        <c:ser>
          <c:idx val="2"/>
          <c:order val="2"/>
          <c:tx>
            <c:strRef>
              <c:f>'Прогноз (2)'!$L$2</c:f>
              <c:strCache>
                <c:ptCount val="1"/>
                <c:pt idx="0">
                  <c:v>YoY_Old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(2)'!$A$36:$A$62</c:f>
              <c:numCache>
                <c:formatCode>m/d/yyyy</c:formatCode>
                <c:ptCount val="27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  <c:pt idx="13">
                  <c:v>45962</c:v>
                </c:pt>
                <c:pt idx="14">
                  <c:v>45992</c:v>
                </c:pt>
                <c:pt idx="15">
                  <c:v>46023</c:v>
                </c:pt>
                <c:pt idx="16">
                  <c:v>46054</c:v>
                </c:pt>
                <c:pt idx="17">
                  <c:v>46082</c:v>
                </c:pt>
                <c:pt idx="18">
                  <c:v>46113</c:v>
                </c:pt>
                <c:pt idx="19">
                  <c:v>46143</c:v>
                </c:pt>
                <c:pt idx="20">
                  <c:v>46174</c:v>
                </c:pt>
                <c:pt idx="21">
                  <c:v>46204</c:v>
                </c:pt>
                <c:pt idx="22">
                  <c:v>46235</c:v>
                </c:pt>
                <c:pt idx="23">
                  <c:v>46266</c:v>
                </c:pt>
                <c:pt idx="24">
                  <c:v>46296</c:v>
                </c:pt>
                <c:pt idx="25">
                  <c:v>46327</c:v>
                </c:pt>
                <c:pt idx="26">
                  <c:v>46357</c:v>
                </c:pt>
              </c:numCache>
            </c:numRef>
          </c:cat>
          <c:val>
            <c:numRef>
              <c:f>'Прогноз (2)'!$L$36:$L$50</c:f>
              <c:numCache>
                <c:formatCode>0.00</c:formatCode>
                <c:ptCount val="15"/>
                <c:pt idx="0">
                  <c:v>107.49</c:v>
                </c:pt>
                <c:pt idx="1">
                  <c:v>108.31</c:v>
                </c:pt>
                <c:pt idx="2">
                  <c:v>108.98</c:v>
                </c:pt>
                <c:pt idx="3">
                  <c:v>108.95</c:v>
                </c:pt>
                <c:pt idx="4">
                  <c:v>109.83</c:v>
                </c:pt>
                <c:pt idx="5">
                  <c:v>110.13</c:v>
                </c:pt>
                <c:pt idx="6">
                  <c:v>110.3</c:v>
                </c:pt>
                <c:pt idx="7">
                  <c:v>109.2</c:v>
                </c:pt>
                <c:pt idx="8">
                  <c:v>108.96</c:v>
                </c:pt>
                <c:pt idx="9">
                  <c:v>108.77</c:v>
                </c:pt>
                <c:pt idx="10">
                  <c:v>108.89</c:v>
                </c:pt>
                <c:pt idx="11">
                  <c:v>108.6</c:v>
                </c:pt>
                <c:pt idx="12">
                  <c:v>107.41</c:v>
                </c:pt>
                <c:pt idx="13">
                  <c:v>106.41</c:v>
                </c:pt>
                <c:pt idx="14">
                  <c:v>106.08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E8-408F-9A44-612A15742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013663"/>
        <c:axId val="1161684383"/>
      </c:lineChart>
      <c:dateAx>
        <c:axId val="1161686047"/>
        <c:scaling>
          <c:orientation val="minMax"/>
        </c:scaling>
        <c:delete val="0"/>
        <c:axPos val="b"/>
        <c:numFmt formatCode="m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0280479"/>
        <c:crosses val="autoZero"/>
        <c:auto val="1"/>
        <c:lblOffset val="100"/>
        <c:baseTimeUnit val="months"/>
      </c:dateAx>
      <c:valAx>
        <c:axId val="116028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1686047"/>
        <c:crosses val="autoZero"/>
        <c:crossBetween val="between"/>
      </c:valAx>
      <c:valAx>
        <c:axId val="116168438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8013663"/>
        <c:crosses val="max"/>
        <c:crossBetween val="between"/>
      </c:valAx>
      <c:dateAx>
        <c:axId val="116801366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168438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</a:t>
            </a:r>
            <a:r>
              <a:rPr lang="en-US" baseline="0"/>
              <a:t>mom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Прогноз!$A$39:$A$62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Прогноз!$B$39:$B$62</c:f>
              <c:numCache>
                <c:formatCode>0.00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0B-4837-9E83-EA9C173FAD1A}"/>
            </c:ext>
          </c:extLst>
        </c:ser>
        <c:ser>
          <c:idx val="1"/>
          <c:order val="1"/>
          <c:tx>
            <c:strRef>
              <c:f>'Прогноз (2)'!$E$2</c:f>
              <c:strCache>
                <c:ptCount val="1"/>
                <c:pt idx="0">
                  <c:v>MoM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'Прогноз (2)'!$E$39:$E$62</c:f>
              <c:numCache>
                <c:formatCode>0.00</c:formatCode>
                <c:ptCount val="24"/>
                <c:pt idx="0">
                  <c:v>100.84</c:v>
                </c:pt>
                <c:pt idx="1">
                  <c:v>101.34</c:v>
                </c:pt>
                <c:pt idx="2">
                  <c:v>100.81</c:v>
                </c:pt>
                <c:pt idx="3">
                  <c:v>100.53</c:v>
                </c:pt>
                <c:pt idx="4">
                  <c:v>99.93</c:v>
                </c:pt>
                <c:pt idx="5">
                  <c:v>99.96</c:v>
                </c:pt>
                <c:pt idx="6">
                  <c:v>100.36</c:v>
                </c:pt>
                <c:pt idx="7">
                  <c:v>99.43</c:v>
                </c:pt>
                <c:pt idx="8">
                  <c:v>101</c:v>
                </c:pt>
                <c:pt idx="9">
                  <c:v>100.53</c:v>
                </c:pt>
                <c:pt idx="10">
                  <c:v>100.2</c:v>
                </c:pt>
                <c:pt idx="11">
                  <c:v>100.65</c:v>
                </c:pt>
                <c:pt idx="12">
                  <c:v>100.65</c:v>
                </c:pt>
                <c:pt idx="13">
                  <c:v>100.68</c:v>
                </c:pt>
                <c:pt idx="14">
                  <c:v>100.48486469999997</c:v>
                </c:pt>
                <c:pt idx="15">
                  <c:v>100.5</c:v>
                </c:pt>
                <c:pt idx="16">
                  <c:v>100.28006969999998</c:v>
                </c:pt>
                <c:pt idx="17">
                  <c:v>100.06626499999997</c:v>
                </c:pt>
                <c:pt idx="18">
                  <c:v>100.4</c:v>
                </c:pt>
                <c:pt idx="19">
                  <c:v>99.814364599999976</c:v>
                </c:pt>
                <c:pt idx="20">
                  <c:v>100.07152929999997</c:v>
                </c:pt>
                <c:pt idx="21">
                  <c:v>100.3</c:v>
                </c:pt>
                <c:pt idx="22">
                  <c:v>100.5</c:v>
                </c:pt>
                <c:pt idx="23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0B-4837-9E83-EA9C173FAD1A}"/>
            </c:ext>
          </c:extLst>
        </c:ser>
        <c:ser>
          <c:idx val="2"/>
          <c:order val="2"/>
          <c:tx>
            <c:strRef>
              <c:f>'Прогноз (2)'!$J$2</c:f>
              <c:strCache>
                <c:ptCount val="1"/>
                <c:pt idx="0">
                  <c:v>MoM_Old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'Прогноз (2)'!$J$39:$J$62</c:f>
              <c:numCache>
                <c:formatCode>0.00</c:formatCode>
                <c:ptCount val="24"/>
                <c:pt idx="0">
                  <c:v>100.84</c:v>
                </c:pt>
                <c:pt idx="1">
                  <c:v>101.34</c:v>
                </c:pt>
                <c:pt idx="2">
                  <c:v>100.81</c:v>
                </c:pt>
                <c:pt idx="3">
                  <c:v>100.53</c:v>
                </c:pt>
                <c:pt idx="4">
                  <c:v>99.93</c:v>
                </c:pt>
                <c:pt idx="5">
                  <c:v>99.96</c:v>
                </c:pt>
                <c:pt idx="6">
                  <c:v>100.9</c:v>
                </c:pt>
                <c:pt idx="7">
                  <c:v>100.2</c:v>
                </c:pt>
                <c:pt idx="8">
                  <c:v>100.35</c:v>
                </c:pt>
                <c:pt idx="9">
                  <c:v>100.58</c:v>
                </c:pt>
                <c:pt idx="10">
                  <c:v>100.55</c:v>
                </c:pt>
                <c:pt idx="11">
                  <c:v>100.6</c:v>
                </c:pt>
                <c:pt idx="12">
                  <c:v>100.55</c:v>
                </c:pt>
                <c:pt idx="13">
                  <c:v>100.5</c:v>
                </c:pt>
                <c:pt idx="14">
                  <c:v>100.48486469999997</c:v>
                </c:pt>
                <c:pt idx="15">
                  <c:v>100.5</c:v>
                </c:pt>
                <c:pt idx="16">
                  <c:v>100.28006969999998</c:v>
                </c:pt>
                <c:pt idx="17">
                  <c:v>100.06626499999997</c:v>
                </c:pt>
                <c:pt idx="18">
                  <c:v>100.6</c:v>
                </c:pt>
                <c:pt idx="19">
                  <c:v>99.814364599999976</c:v>
                </c:pt>
                <c:pt idx="20">
                  <c:v>100.07152929999997</c:v>
                </c:pt>
                <c:pt idx="21">
                  <c:v>100.3</c:v>
                </c:pt>
                <c:pt idx="22">
                  <c:v>100.5</c:v>
                </c:pt>
                <c:pt idx="23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0B-4837-9E83-EA9C173FA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473536"/>
        <c:axId val="1243465632"/>
      </c:lineChart>
      <c:dateAx>
        <c:axId val="1243473536"/>
        <c:scaling>
          <c:orientation val="minMax"/>
        </c:scaling>
        <c:delete val="0"/>
        <c:axPos val="b"/>
        <c:numFmt formatCode="mm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3465632"/>
        <c:crosses val="autoZero"/>
        <c:auto val="1"/>
        <c:lblOffset val="100"/>
        <c:baseTimeUnit val="months"/>
      </c:dateAx>
      <c:valAx>
        <c:axId val="1243465632"/>
        <c:scaling>
          <c:orientation val="minMax"/>
          <c:min val="99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347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en-US"/>
              <a:t> YoY</a:t>
            </a:r>
            <a:r>
              <a:rPr lang="ru-R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'Прогноз (2)'!$F$2</c:f>
              <c:strCache>
                <c:ptCount val="1"/>
                <c:pt idx="0">
                  <c:v>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'Прогноз (2)'!$F$39:$F$62</c:f>
              <c:numCache>
                <c:formatCode>0.00</c:formatCode>
                <c:ptCount val="24"/>
                <c:pt idx="0">
                  <c:v>108.95</c:v>
                </c:pt>
                <c:pt idx="1">
                  <c:v>109.83</c:v>
                </c:pt>
                <c:pt idx="2">
                  <c:v>110.13</c:v>
                </c:pt>
                <c:pt idx="3">
                  <c:v>110.3</c:v>
                </c:pt>
                <c:pt idx="4">
                  <c:v>109.2</c:v>
                </c:pt>
                <c:pt idx="5">
                  <c:v>108.96</c:v>
                </c:pt>
                <c:pt idx="6">
                  <c:v>108.19</c:v>
                </c:pt>
                <c:pt idx="7">
                  <c:v>107.48</c:v>
                </c:pt>
                <c:pt idx="8">
                  <c:v>107.88</c:v>
                </c:pt>
                <c:pt idx="9">
                  <c:v>107.36</c:v>
                </c:pt>
                <c:pt idx="10">
                  <c:v>105.98</c:v>
                </c:pt>
                <c:pt idx="11">
                  <c:v>105.71</c:v>
                </c:pt>
                <c:pt idx="12">
                  <c:v>105.51</c:v>
                </c:pt>
                <c:pt idx="13">
                  <c:v>104.82</c:v>
                </c:pt>
                <c:pt idx="14">
                  <c:v>104.48</c:v>
                </c:pt>
                <c:pt idx="15">
                  <c:v>104.45</c:v>
                </c:pt>
                <c:pt idx="16">
                  <c:v>104.82</c:v>
                </c:pt>
                <c:pt idx="17">
                  <c:v>104.93</c:v>
                </c:pt>
                <c:pt idx="18">
                  <c:v>104.97</c:v>
                </c:pt>
                <c:pt idx="19">
                  <c:v>105.38</c:v>
                </c:pt>
                <c:pt idx="20">
                  <c:v>104.41</c:v>
                </c:pt>
                <c:pt idx="21">
                  <c:v>104.17</c:v>
                </c:pt>
                <c:pt idx="22">
                  <c:v>104.48</c:v>
                </c:pt>
                <c:pt idx="23">
                  <c:v>104.22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5-448B-886F-438A6AD79879}"/>
            </c:ext>
          </c:extLst>
        </c:ser>
        <c:ser>
          <c:idx val="1"/>
          <c:order val="1"/>
          <c:tx>
            <c:strRef>
              <c:f>'Прогноз (2)'!$L$2</c:f>
              <c:strCache>
                <c:ptCount val="1"/>
                <c:pt idx="0">
                  <c:v>YoY_Old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'Прогноз (2)'!$L$39:$L$62</c:f>
              <c:numCache>
                <c:formatCode>0.00</c:formatCode>
                <c:ptCount val="24"/>
                <c:pt idx="0">
                  <c:v>108.95</c:v>
                </c:pt>
                <c:pt idx="1">
                  <c:v>109.83</c:v>
                </c:pt>
                <c:pt idx="2">
                  <c:v>110.13</c:v>
                </c:pt>
                <c:pt idx="3">
                  <c:v>110.3</c:v>
                </c:pt>
                <c:pt idx="4">
                  <c:v>109.2</c:v>
                </c:pt>
                <c:pt idx="5">
                  <c:v>108.96</c:v>
                </c:pt>
                <c:pt idx="6">
                  <c:v>108.77</c:v>
                </c:pt>
                <c:pt idx="7">
                  <c:v>108.89</c:v>
                </c:pt>
                <c:pt idx="8">
                  <c:v>108.6</c:v>
                </c:pt>
                <c:pt idx="9">
                  <c:v>107.41</c:v>
                </c:pt>
                <c:pt idx="10">
                  <c:v>106.41</c:v>
                </c:pt>
                <c:pt idx="11">
                  <c:v>106.08</c:v>
                </c:pt>
                <c:pt idx="12">
                  <c:v>105.77</c:v>
                </c:pt>
                <c:pt idx="13">
                  <c:v>104.9</c:v>
                </c:pt>
                <c:pt idx="14">
                  <c:v>104.56</c:v>
                </c:pt>
                <c:pt idx="15">
                  <c:v>104.53</c:v>
                </c:pt>
                <c:pt idx="16">
                  <c:v>104.89</c:v>
                </c:pt>
                <c:pt idx="17">
                  <c:v>105</c:v>
                </c:pt>
                <c:pt idx="18">
                  <c:v>105.26</c:v>
                </c:pt>
                <c:pt idx="19">
                  <c:v>105.66</c:v>
                </c:pt>
                <c:pt idx="20">
                  <c:v>104.69</c:v>
                </c:pt>
                <c:pt idx="21">
                  <c:v>104.4</c:v>
                </c:pt>
                <c:pt idx="22">
                  <c:v>104.35</c:v>
                </c:pt>
                <c:pt idx="23">
                  <c:v>104.14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5-448B-886F-438A6AD79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466880"/>
        <c:axId val="1243470208"/>
      </c:lineChart>
      <c:dateAx>
        <c:axId val="1243466880"/>
        <c:scaling>
          <c:orientation val="minMax"/>
        </c:scaling>
        <c:delete val="0"/>
        <c:axPos val="b"/>
        <c:numFmt formatCode="mm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3470208"/>
        <c:crosses val="autoZero"/>
        <c:auto val="1"/>
        <c:lblOffset val="100"/>
        <c:baseTimeUnit val="months"/>
      </c:dateAx>
      <c:valAx>
        <c:axId val="12434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346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162899</xdr:colOff>
      <xdr:row>26</xdr:row>
      <xdr:rowOff>157141</xdr:rowOff>
    </xdr:from>
    <xdr:to>
      <xdr:col>69</xdr:col>
      <xdr:colOff>510172</xdr:colOff>
      <xdr:row>38</xdr:row>
      <xdr:rowOff>73847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FE0CE66-F607-4651-AE45-6C9F14563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57978</xdr:colOff>
      <xdr:row>64</xdr:row>
      <xdr:rowOff>113886</xdr:rowOff>
    </xdr:from>
    <xdr:to>
      <xdr:col>16</xdr:col>
      <xdr:colOff>572328</xdr:colOff>
      <xdr:row>89</xdr:row>
      <xdr:rowOff>104361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8520998-922D-49F1-A4D2-4A3ACCBD0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140803</xdr:colOff>
      <xdr:row>94</xdr:row>
      <xdr:rowOff>123409</xdr:rowOff>
    </xdr:from>
    <xdr:to>
      <xdr:col>55</xdr:col>
      <xdr:colOff>405847</xdr:colOff>
      <xdr:row>118</xdr:row>
      <xdr:rowOff>140804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0389A72-8085-4F1B-ADDC-6256E9CF9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_&#1055;&#1088;&#1086;&#1075;&#1085;&#1086;&#1079;\_&#1055;&#1088;&#1086;&#1075;&#1085;&#1086;&#1079;\&#1055;&#1088;&#1086;&#1075;&#1085;&#1086;&#1079;%202023_&#1089;&#1086;&#1082;&#108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ies_y_f_TM"/>
      <sheetName val="series_y_f"/>
      <sheetName val="Компонентный"/>
      <sheetName val="Субкомпонентный"/>
      <sheetName val="Микрокомпонентный"/>
      <sheetName val="Микрокомпоненты"/>
      <sheetName val="Сравнение прогн. с недель. цен"/>
      <sheetName val="Формулы"/>
      <sheetName val="БИПЦ"/>
      <sheetName val="СПР 2022"/>
      <sheetName val="СПР"/>
      <sheetName val="ИПЦ"/>
      <sheetName val="ИПЦ ЦФО-&gt;ИПЦ"/>
      <sheetName val="ИПЦ ЦФО"/>
      <sheetName val="Статистика ИПЦ полный -&gt;ИПЦ"/>
      <sheetName val="Статистика ИПЦ полный"/>
      <sheetName val="Отчет Изменени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D1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0000000-0016-0000-0600-000000000000}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Day" tableColumnId="7"/>
      <queryTableField id="2" name="YoY" tableColumnId="8"/>
      <queryTableField id="3" name="MoM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moveDataOnSave="1" connectionId="6" xr16:uid="{00000000-0016-0000-0600-000001000000}" autoFormatId="0" applyNumberFormats="0" applyBorderFormats="0" applyFontFormats="1" applyPatternFormats="1" applyAlignmentFormats="0" applyWidthHeightFormats="0">
  <queryTableRefresh preserveSortFilterLayout="0" nextId="5" unboundColumnsRight="1">
    <queryTableFields count="4">
      <queryTableField id="1" name="Day" tableColumnId="10"/>
      <queryTableField id="2" name="YoY" tableColumnId="11"/>
      <queryTableField id="3" name="MoM" tableColumnId="12"/>
      <queryTableField id="4" dataBound="0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arameters" displayName="Parameters" ref="A1:A2" totalsRowShown="0">
  <autoFilter ref="A1:A2" xr:uid="{00000000-0009-0000-0100-000002000000}"/>
  <tableColumns count="1">
    <tableColumn id="1" xr3:uid="{00000000-0010-0000-0000-000001000000}" name="Значение">
      <calculatedColumnFormula array="1">MID(CELL("filename",A1),1,SEARCH("[",CELL("filename",A1))-1)&amp;"IPC.xlsx"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Таблица1" displayName="Таблица1" ref="A1:C16" tableType="queryTable" totalsRowShown="0">
  <autoFilter ref="A1:C16" xr:uid="{00000000-0009-0000-0100-000001000000}"/>
  <tableColumns count="3">
    <tableColumn id="7" xr3:uid="{00000000-0010-0000-0100-000007000000}" uniqueName="7" name="Day" queryTableFieldId="1" dataDxfId="5"/>
    <tableColumn id="8" xr3:uid="{00000000-0010-0000-0100-000008000000}" uniqueName="8" name="YoY" queryTableFieldId="2" dataDxfId="4"/>
    <tableColumn id="9" xr3:uid="{00000000-0010-0000-0100-000009000000}" uniqueName="9" name="MoM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аблица1__2" displayName="Таблица1__2" ref="I1:L185" tableType="queryTable">
  <autoFilter ref="I1:L185" xr:uid="{00000000-0009-0000-0100-000003000000}"/>
  <tableColumns count="4">
    <tableColumn id="10" xr3:uid="{00000000-0010-0000-0200-00000A000000}" uniqueName="10" name="Day" queryTableFieldId="1" dataDxfId="2" totalsRowDxfId="1"/>
    <tableColumn id="11" xr3:uid="{00000000-0010-0000-0200-00000B000000}" uniqueName="11" name="YoY" queryTableFieldId="2"/>
    <tableColumn id="12" xr3:uid="{00000000-0010-0000-0200-00000C000000}" uniqueName="12" name="MoM" queryTableFieldId="3"/>
    <tableColumn id="13" xr3:uid="{00000000-0010-0000-0200-00000D000000}" uniqueName="13" name="Столбец1" totalsRowFunction="custom" queryTableFieldId="4" totalsRowDxfId="0">
      <totalsRowFormula>AVERAGE(K182:K184)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M93"/>
  <sheetViews>
    <sheetView tabSelected="1" zoomScaleNormal="100" workbookViewId="0">
      <pane ySplit="2" topLeftCell="A41" activePane="bottomLeft" state="frozen"/>
      <selection pane="bottomLeft" activeCell="E56" sqref="E56"/>
    </sheetView>
  </sheetViews>
  <sheetFormatPr defaultRowHeight="14.4" x14ac:dyDescent="0.3"/>
  <cols>
    <col min="1" max="1" width="10.8984375" style="3" bestFit="1" customWidth="1"/>
    <col min="2" max="2" width="6.3984375" style="14" bestFit="1" customWidth="1"/>
    <col min="3" max="3" width="5.09765625" style="14" bestFit="1" customWidth="1"/>
    <col min="4" max="4" width="15.296875" style="14" bestFit="1" customWidth="1"/>
    <col min="5" max="6" width="11.09765625" style="7" bestFit="1" customWidth="1"/>
    <col min="7" max="8" width="9.8984375" style="14" bestFit="1" customWidth="1"/>
    <col min="9" max="9" width="6.69921875" style="14" bestFit="1" customWidth="1"/>
    <col min="10" max="12" width="8.3984375" style="2" customWidth="1"/>
    <col min="13" max="13" width="12" style="2" bestFit="1" customWidth="1"/>
  </cols>
  <sheetData>
    <row r="1" spans="1:13" x14ac:dyDescent="0.3">
      <c r="E1" s="38">
        <v>46181</v>
      </c>
      <c r="F1" s="38">
        <v>46181</v>
      </c>
      <c r="G1" s="124">
        <v>46163</v>
      </c>
      <c r="H1" s="124">
        <v>46163</v>
      </c>
    </row>
    <row r="2" spans="1:13" ht="21.9" x14ac:dyDescent="0.3">
      <c r="A2" s="44" t="s">
        <v>0</v>
      </c>
      <c r="B2" s="45">
        <v>-0.5</v>
      </c>
      <c r="C2" s="45"/>
      <c r="D2" s="45"/>
      <c r="E2" s="44" t="s">
        <v>1</v>
      </c>
      <c r="F2" s="44" t="s">
        <v>2</v>
      </c>
      <c r="G2" s="45" t="s">
        <v>1</v>
      </c>
      <c r="H2" s="45" t="s">
        <v>2</v>
      </c>
      <c r="I2" s="10" t="s">
        <v>32</v>
      </c>
      <c r="J2" s="6"/>
      <c r="K2" s="6"/>
      <c r="L2" s="6"/>
      <c r="M2" s="6"/>
    </row>
    <row r="3" spans="1:13" x14ac:dyDescent="0.3">
      <c r="A3" s="46">
        <v>44562</v>
      </c>
      <c r="B3" s="47"/>
      <c r="C3" s="47"/>
      <c r="D3" s="47"/>
      <c r="E3" s="109">
        <v>101.22</v>
      </c>
      <c r="F3" s="109">
        <v>108.84</v>
      </c>
      <c r="G3" s="47"/>
      <c r="H3" s="47"/>
      <c r="I3" s="5"/>
      <c r="J3" s="15"/>
      <c r="K3" s="15"/>
      <c r="L3" s="15"/>
      <c r="M3" s="15"/>
    </row>
    <row r="4" spans="1:13" x14ac:dyDescent="0.3">
      <c r="A4" s="49">
        <v>44593</v>
      </c>
      <c r="B4" s="47"/>
      <c r="C4" s="47"/>
      <c r="D4" s="47"/>
      <c r="E4" s="109">
        <v>100.94</v>
      </c>
      <c r="F4" s="109">
        <v>108.73</v>
      </c>
      <c r="G4" s="47"/>
      <c r="H4" s="47"/>
      <c r="I4" s="5"/>
      <c r="J4" s="15"/>
      <c r="K4" s="15"/>
      <c r="L4" s="15"/>
      <c r="M4" s="15"/>
    </row>
    <row r="5" spans="1:13" x14ac:dyDescent="0.3">
      <c r="A5" s="46">
        <v>44621</v>
      </c>
      <c r="B5" s="47"/>
      <c r="C5" s="47"/>
      <c r="D5" s="47"/>
      <c r="E5" s="109">
        <v>105.55</v>
      </c>
      <c r="F5" s="109">
        <v>113.28999999999999</v>
      </c>
      <c r="G5" s="47"/>
      <c r="H5" s="47"/>
      <c r="I5" s="5">
        <f t="shared" ref="I5:I11" si="0">AVERAGE($E3:$E5)^12/100^11-100</f>
        <v>35.595184449015164</v>
      </c>
      <c r="J5" s="15"/>
      <c r="K5" s="15"/>
      <c r="L5" s="15"/>
      <c r="M5" s="15"/>
    </row>
    <row r="6" spans="1:13" x14ac:dyDescent="0.3">
      <c r="A6" s="49">
        <v>44652</v>
      </c>
      <c r="B6" s="47"/>
      <c r="C6" s="47"/>
      <c r="D6" s="47"/>
      <c r="E6" s="109">
        <v>103.28</v>
      </c>
      <c r="F6" s="109">
        <v>116</v>
      </c>
      <c r="G6" s="47"/>
      <c r="H6" s="47"/>
      <c r="I6" s="5">
        <f t="shared" si="0"/>
        <v>46.8984496892717</v>
      </c>
      <c r="J6" s="15"/>
      <c r="K6" s="15"/>
      <c r="L6" s="15"/>
      <c r="M6" s="15"/>
    </row>
    <row r="7" spans="1:13" x14ac:dyDescent="0.3">
      <c r="A7" s="46">
        <v>44682</v>
      </c>
      <c r="B7" s="47"/>
      <c r="C7" s="47"/>
      <c r="D7" s="47"/>
      <c r="E7" s="109">
        <v>100.68</v>
      </c>
      <c r="F7" s="109">
        <v>116.31</v>
      </c>
      <c r="G7" s="47"/>
      <c r="H7" s="47"/>
      <c r="I7" s="5">
        <f t="shared" si="0"/>
        <v>45.425701194734813</v>
      </c>
      <c r="J7" s="7"/>
      <c r="K7" s="7"/>
      <c r="L7" s="7"/>
      <c r="M7" s="7"/>
    </row>
    <row r="8" spans="1:13" x14ac:dyDescent="0.3">
      <c r="A8" s="49">
        <v>44713</v>
      </c>
      <c r="B8" s="50"/>
      <c r="C8" s="50"/>
      <c r="D8" s="50"/>
      <c r="E8" s="110">
        <v>99.32</v>
      </c>
      <c r="F8" s="110">
        <v>114.88</v>
      </c>
      <c r="G8" s="50"/>
      <c r="H8" s="50"/>
      <c r="I8" s="5">
        <f t="shared" si="0"/>
        <v>13.938422005549114</v>
      </c>
      <c r="J8" s="7"/>
      <c r="K8" s="7"/>
      <c r="L8" s="7"/>
      <c r="M8" s="7"/>
    </row>
    <row r="9" spans="1:13" x14ac:dyDescent="0.3">
      <c r="A9" s="46">
        <v>44743</v>
      </c>
      <c r="B9" s="50"/>
      <c r="C9" s="50"/>
      <c r="D9" s="50"/>
      <c r="E9" s="110">
        <v>99.23</v>
      </c>
      <c r="F9" s="110">
        <v>113.75</v>
      </c>
      <c r="G9" s="50"/>
      <c r="H9" s="50"/>
      <c r="I9" s="5">
        <f t="shared" si="0"/>
        <v>-3.036890517072834</v>
      </c>
      <c r="J9" s="7"/>
      <c r="K9" s="7"/>
      <c r="L9" s="7"/>
      <c r="M9" s="7"/>
    </row>
    <row r="10" spans="1:13" x14ac:dyDescent="0.3">
      <c r="A10" s="49">
        <v>44774</v>
      </c>
      <c r="B10" s="50"/>
      <c r="C10" s="50"/>
      <c r="D10" s="50"/>
      <c r="E10" s="110">
        <v>99.43</v>
      </c>
      <c r="F10" s="110">
        <v>112.92</v>
      </c>
      <c r="G10" s="50"/>
      <c r="H10" s="50"/>
      <c r="I10" s="5">
        <f t="shared" si="0"/>
        <v>-7.7873860424702173</v>
      </c>
      <c r="J10" s="7"/>
      <c r="K10" s="7"/>
      <c r="L10" s="7"/>
      <c r="M10" s="7"/>
    </row>
    <row r="11" spans="1:13" x14ac:dyDescent="0.3">
      <c r="A11" s="46">
        <v>44805</v>
      </c>
      <c r="B11" s="50"/>
      <c r="C11" s="50"/>
      <c r="D11" s="50"/>
      <c r="E11" s="110">
        <v>100.33</v>
      </c>
      <c r="F11" s="110">
        <v>112.46000000000001</v>
      </c>
      <c r="G11" s="50"/>
      <c r="H11" s="50"/>
      <c r="I11" s="5">
        <f t="shared" si="0"/>
        <v>-3.9660258460593951</v>
      </c>
      <c r="J11" s="7"/>
      <c r="K11" s="7"/>
      <c r="L11" s="7"/>
      <c r="M11" s="7"/>
    </row>
    <row r="12" spans="1:13" x14ac:dyDescent="0.3">
      <c r="A12" s="49">
        <v>44835</v>
      </c>
      <c r="B12" s="50"/>
      <c r="C12" s="50"/>
      <c r="D12" s="50"/>
      <c r="E12" s="110">
        <v>100.66</v>
      </c>
      <c r="F12" s="110">
        <v>112.17</v>
      </c>
      <c r="G12" s="50"/>
      <c r="H12" s="50"/>
      <c r="I12" s="5">
        <f t="shared" ref="I12:I33" si="1">AVERAGE($E10:$E12)^12/100^11-100</f>
        <v>1.6929965585857332</v>
      </c>
      <c r="J12" s="7"/>
      <c r="K12" s="7"/>
      <c r="L12" s="7"/>
      <c r="M12" s="7"/>
    </row>
    <row r="13" spans="1:13" x14ac:dyDescent="0.3">
      <c r="A13" s="46">
        <v>44866</v>
      </c>
      <c r="B13" s="50"/>
      <c r="C13" s="50"/>
      <c r="D13" s="50"/>
      <c r="E13" s="110">
        <v>100.26</v>
      </c>
      <c r="F13" s="110">
        <v>111.51</v>
      </c>
      <c r="G13" s="50"/>
      <c r="H13" s="50"/>
      <c r="I13" s="5">
        <f t="shared" si="1"/>
        <v>5.1161897881733722</v>
      </c>
      <c r="J13" s="7"/>
      <c r="K13" s="7"/>
      <c r="L13" s="7"/>
      <c r="M13" s="7"/>
    </row>
    <row r="14" spans="1:13" x14ac:dyDescent="0.3">
      <c r="A14" s="49">
        <v>44896</v>
      </c>
      <c r="B14" s="50"/>
      <c r="C14" s="50"/>
      <c r="D14" s="50"/>
      <c r="E14" s="110">
        <v>100.57</v>
      </c>
      <c r="F14" s="110">
        <v>111.9</v>
      </c>
      <c r="G14" s="50"/>
      <c r="H14" s="50"/>
      <c r="I14" s="5">
        <f t="shared" si="1"/>
        <v>6.1255330606507243</v>
      </c>
      <c r="J14" s="7"/>
      <c r="K14" s="7"/>
      <c r="L14" s="7"/>
      <c r="M14" s="7"/>
    </row>
    <row r="15" spans="1:13" x14ac:dyDescent="0.3">
      <c r="A15" s="46">
        <v>44927</v>
      </c>
      <c r="B15" s="50"/>
      <c r="C15" s="50"/>
      <c r="D15" s="50"/>
      <c r="E15" s="110">
        <v>101.13</v>
      </c>
      <c r="F15" s="110">
        <v>111.8</v>
      </c>
      <c r="G15" s="50"/>
      <c r="H15" s="50"/>
      <c r="I15" s="5">
        <f t="shared" si="1"/>
        <v>8.1279436479058518</v>
      </c>
      <c r="J15" s="7"/>
      <c r="K15" s="7"/>
      <c r="L15" s="7"/>
      <c r="M15" s="7"/>
    </row>
    <row r="16" spans="1:13" x14ac:dyDescent="0.3">
      <c r="A16" s="49">
        <v>44958</v>
      </c>
      <c r="B16" s="52"/>
      <c r="C16" s="52"/>
      <c r="D16" s="52"/>
      <c r="E16" s="111">
        <v>100.75</v>
      </c>
      <c r="F16" s="111">
        <v>111.59</v>
      </c>
      <c r="G16" s="52"/>
      <c r="H16" s="52"/>
      <c r="I16" s="5">
        <f t="shared" si="1"/>
        <v>10.252389189890948</v>
      </c>
      <c r="J16" s="7"/>
      <c r="K16" s="7"/>
      <c r="L16" s="7"/>
      <c r="M16" s="7"/>
    </row>
    <row r="17" spans="1:13" x14ac:dyDescent="0.3">
      <c r="A17" s="46">
        <v>44986</v>
      </c>
      <c r="B17" s="52"/>
      <c r="C17" s="52"/>
      <c r="D17" s="52"/>
      <c r="E17" s="112">
        <v>100.39</v>
      </c>
      <c r="F17" s="111">
        <v>106.14</v>
      </c>
      <c r="G17" s="52"/>
      <c r="H17" s="52"/>
      <c r="I17" s="5">
        <f t="shared" si="1"/>
        <v>9.4675745363242214</v>
      </c>
      <c r="J17" s="7"/>
      <c r="K17" s="7"/>
      <c r="L17" s="7"/>
      <c r="M17" s="7"/>
    </row>
    <row r="18" spans="1:13" x14ac:dyDescent="0.3">
      <c r="A18" s="49">
        <v>45017</v>
      </c>
      <c r="B18" s="52"/>
      <c r="C18" s="52"/>
      <c r="D18" s="52"/>
      <c r="E18" s="113">
        <v>100.72</v>
      </c>
      <c r="F18" s="111">
        <v>103.51</v>
      </c>
      <c r="G18" s="52"/>
      <c r="H18" s="52"/>
      <c r="I18" s="5">
        <f t="shared" si="1"/>
        <v>7.6990210897167941</v>
      </c>
      <c r="J18" s="7"/>
      <c r="K18" s="7"/>
      <c r="L18" s="7"/>
      <c r="M18" s="7"/>
    </row>
    <row r="19" spans="1:13" x14ac:dyDescent="0.3">
      <c r="A19" s="46">
        <v>45047</v>
      </c>
      <c r="B19" s="52"/>
      <c r="C19" s="52"/>
      <c r="D19" s="52"/>
      <c r="E19" s="113">
        <v>99.75</v>
      </c>
      <c r="F19" s="111">
        <v>102.55</v>
      </c>
      <c r="G19" s="52"/>
      <c r="H19" s="52"/>
      <c r="I19" s="5">
        <f t="shared" si="1"/>
        <v>3.4947589593967621</v>
      </c>
      <c r="J19" s="4"/>
      <c r="K19" s="4"/>
      <c r="L19" s="4"/>
      <c r="M19" s="4"/>
    </row>
    <row r="20" spans="1:13" x14ac:dyDescent="0.3">
      <c r="A20" s="49">
        <v>45078</v>
      </c>
      <c r="B20" s="52"/>
      <c r="C20" s="52"/>
      <c r="D20" s="52"/>
      <c r="E20" s="113">
        <v>100.43</v>
      </c>
      <c r="F20" s="111">
        <v>103.69</v>
      </c>
      <c r="G20" s="52"/>
      <c r="H20" s="52"/>
      <c r="I20" s="5">
        <f t="shared" si="1"/>
        <v>3.6599980288131349</v>
      </c>
      <c r="J20" s="7"/>
      <c r="K20" s="7"/>
      <c r="L20" s="7"/>
      <c r="M20" s="7"/>
    </row>
    <row r="21" spans="1:13" x14ac:dyDescent="0.3">
      <c r="A21" s="46">
        <v>45108</v>
      </c>
      <c r="B21" s="52"/>
      <c r="C21" s="52"/>
      <c r="D21" s="52"/>
      <c r="E21" s="113">
        <v>100.5</v>
      </c>
      <c r="F21" s="111">
        <v>105.03</v>
      </c>
      <c r="G21" s="52"/>
      <c r="H21" s="52"/>
      <c r="I21" s="5">
        <f t="shared" si="1"/>
        <v>2.7541668485761903</v>
      </c>
      <c r="J21" s="7"/>
      <c r="K21" s="7"/>
      <c r="L21" s="7"/>
      <c r="M21" s="7"/>
    </row>
    <row r="22" spans="1:13" x14ac:dyDescent="0.3">
      <c r="A22" s="49">
        <v>45139</v>
      </c>
      <c r="B22" s="52"/>
      <c r="C22" s="52"/>
      <c r="D22" s="52"/>
      <c r="E22" s="113">
        <v>99.93</v>
      </c>
      <c r="F22" s="111">
        <v>105.56</v>
      </c>
      <c r="G22" s="53"/>
      <c r="H22" s="53"/>
      <c r="I22" s="5">
        <f t="shared" si="1"/>
        <v>3.4947589593967621</v>
      </c>
      <c r="J22" s="8"/>
      <c r="K22" s="8"/>
      <c r="L22" s="8"/>
      <c r="M22" s="8"/>
    </row>
    <row r="23" spans="1:13" x14ac:dyDescent="0.3">
      <c r="A23" s="46">
        <v>45170</v>
      </c>
      <c r="B23" s="56"/>
      <c r="C23" s="56"/>
      <c r="D23" s="56"/>
      <c r="E23" s="113">
        <v>101.75</v>
      </c>
      <c r="F23" s="111">
        <v>107.05</v>
      </c>
      <c r="G23" s="53"/>
      <c r="H23" s="53"/>
      <c r="I23" s="5">
        <f t="shared" si="1"/>
        <v>9.0770906435823377</v>
      </c>
      <c r="J23" s="8"/>
      <c r="K23" s="8"/>
      <c r="L23" s="8"/>
      <c r="M23" s="8"/>
    </row>
    <row r="24" spans="1:13" x14ac:dyDescent="0.3">
      <c r="A24" s="49">
        <v>45200</v>
      </c>
      <c r="B24" s="53">
        <f>E24-0.5</f>
        <v>99.96</v>
      </c>
      <c r="C24" s="53"/>
      <c r="D24" s="53"/>
      <c r="E24" s="113">
        <v>100.46</v>
      </c>
      <c r="F24" s="111">
        <v>106.84</v>
      </c>
      <c r="G24" s="53"/>
      <c r="H24" s="53"/>
      <c r="I24" s="5">
        <f t="shared" si="1"/>
        <v>8.9039524405937271</v>
      </c>
      <c r="J24" s="8"/>
      <c r="K24" s="8"/>
      <c r="L24" s="8"/>
      <c r="M24" s="8"/>
    </row>
    <row r="25" spans="1:13" x14ac:dyDescent="0.3">
      <c r="A25" s="46">
        <v>45231</v>
      </c>
      <c r="B25" s="56"/>
      <c r="C25" s="56"/>
      <c r="D25" s="56"/>
      <c r="E25" s="113">
        <v>100.74</v>
      </c>
      <c r="F25" s="111">
        <v>107.34</v>
      </c>
      <c r="G25" s="53"/>
      <c r="H25" s="56"/>
      <c r="I25" s="5">
        <f t="shared" si="1"/>
        <v>12.459571746567661</v>
      </c>
      <c r="J25" s="8"/>
      <c r="K25" s="8"/>
      <c r="L25" s="8"/>
      <c r="M25" s="8"/>
    </row>
    <row r="26" spans="1:13" x14ac:dyDescent="0.3">
      <c r="A26" s="49">
        <v>45261</v>
      </c>
      <c r="B26" s="53"/>
      <c r="C26" s="53"/>
      <c r="D26" s="53"/>
      <c r="E26" s="113">
        <v>100.29</v>
      </c>
      <c r="F26" s="111">
        <v>107.05</v>
      </c>
      <c r="G26" s="53"/>
      <c r="H26" s="53"/>
      <c r="I26" s="5">
        <f t="shared" si="1"/>
        <v>6.1255330606507243</v>
      </c>
      <c r="J26" s="8"/>
      <c r="K26" s="8"/>
      <c r="L26" s="8"/>
      <c r="M26" s="8"/>
    </row>
    <row r="27" spans="1:13" ht="15" customHeight="1" x14ac:dyDescent="0.3">
      <c r="A27" s="46">
        <v>45292</v>
      </c>
      <c r="B27" s="53"/>
      <c r="C27" s="53"/>
      <c r="D27" s="53"/>
      <c r="E27" s="113">
        <v>100.87</v>
      </c>
      <c r="F27" s="111">
        <v>106.77</v>
      </c>
      <c r="G27" s="53"/>
      <c r="H27" s="53"/>
      <c r="I27" s="5">
        <f t="shared" si="1"/>
        <v>7.8704026017795172</v>
      </c>
      <c r="J27" s="8"/>
      <c r="K27" s="8"/>
      <c r="L27" s="8"/>
      <c r="M27" s="8"/>
    </row>
    <row r="28" spans="1:13" x14ac:dyDescent="0.3">
      <c r="A28" s="49">
        <v>45323</v>
      </c>
      <c r="B28" s="53"/>
      <c r="C28" s="53"/>
      <c r="D28" s="53"/>
      <c r="E28" s="113">
        <v>100.53</v>
      </c>
      <c r="F28" s="111">
        <v>106.54</v>
      </c>
      <c r="G28" s="53"/>
      <c r="H28" s="53"/>
      <c r="I28" s="5">
        <f t="shared" si="1"/>
        <v>6.9734305913095938</v>
      </c>
      <c r="J28" s="8"/>
      <c r="K28" s="8"/>
      <c r="L28" s="8"/>
      <c r="M28" s="8"/>
    </row>
    <row r="29" spans="1:13" x14ac:dyDescent="0.3">
      <c r="A29" s="46">
        <v>45352</v>
      </c>
      <c r="B29" s="53"/>
      <c r="C29" s="53"/>
      <c r="D29" s="53"/>
      <c r="E29" s="113">
        <v>100.53</v>
      </c>
      <c r="F29" s="111">
        <v>106.68</v>
      </c>
      <c r="G29" s="53"/>
      <c r="H29" s="53"/>
      <c r="I29" s="5">
        <f t="shared" si="1"/>
        <v>7.9991027537831201</v>
      </c>
      <c r="J29" s="8"/>
      <c r="K29" s="8"/>
      <c r="L29" s="8"/>
      <c r="M29" s="8"/>
    </row>
    <row r="30" spans="1:13" x14ac:dyDescent="0.3">
      <c r="A30" s="49">
        <v>45383</v>
      </c>
      <c r="B30" s="53"/>
      <c r="C30" s="53"/>
      <c r="D30" s="53"/>
      <c r="E30" s="112">
        <v>100.38</v>
      </c>
      <c r="F30" s="111">
        <v>106.32</v>
      </c>
      <c r="G30" s="53"/>
      <c r="H30" s="53"/>
      <c r="I30" s="5">
        <f t="shared" si="1"/>
        <v>5.9145235035987298</v>
      </c>
      <c r="J30" s="8"/>
      <c r="K30" s="8"/>
      <c r="L30" s="8"/>
      <c r="M30" s="8"/>
    </row>
    <row r="31" spans="1:13" x14ac:dyDescent="0.3">
      <c r="A31" s="46">
        <v>45413</v>
      </c>
      <c r="B31" s="53"/>
      <c r="C31" s="53"/>
      <c r="D31" s="53"/>
      <c r="E31" s="112">
        <v>100.94</v>
      </c>
      <c r="F31" s="111">
        <v>107.59</v>
      </c>
      <c r="G31" s="53"/>
      <c r="H31" s="53"/>
      <c r="I31" s="5">
        <f t="shared" si="1"/>
        <v>7.6562147291127332</v>
      </c>
      <c r="J31" s="8"/>
      <c r="K31" s="8"/>
      <c r="L31" s="8"/>
      <c r="M31" s="8"/>
    </row>
    <row r="32" spans="1:13" x14ac:dyDescent="0.3">
      <c r="A32" s="49">
        <v>45444</v>
      </c>
      <c r="B32" s="53"/>
      <c r="C32" s="53"/>
      <c r="D32" s="53"/>
      <c r="E32" s="112">
        <v>100.18</v>
      </c>
      <c r="F32" s="111">
        <v>107.33</v>
      </c>
      <c r="G32" s="53"/>
      <c r="H32" s="53"/>
      <c r="I32" s="5">
        <f t="shared" si="1"/>
        <v>6.1677811864499574</v>
      </c>
      <c r="J32" s="8"/>
      <c r="K32" s="8"/>
      <c r="L32" s="8"/>
      <c r="M32" s="8"/>
    </row>
    <row r="33" spans="1:13" x14ac:dyDescent="0.3">
      <c r="A33" s="46">
        <v>45474</v>
      </c>
      <c r="B33" s="53"/>
      <c r="C33" s="53"/>
      <c r="D33" s="53"/>
      <c r="E33" s="112">
        <v>101.07</v>
      </c>
      <c r="F33" s="111">
        <v>107.94</v>
      </c>
      <c r="G33" s="53"/>
      <c r="H33" s="53"/>
      <c r="I33" s="5">
        <f t="shared" si="1"/>
        <v>9.1204146012368454</v>
      </c>
      <c r="J33" s="8"/>
      <c r="K33" s="8"/>
      <c r="L33" s="8"/>
      <c r="M33" s="8"/>
    </row>
    <row r="34" spans="1:13" x14ac:dyDescent="0.3">
      <c r="A34" s="49">
        <v>45505</v>
      </c>
      <c r="B34" s="53"/>
      <c r="C34" s="53"/>
      <c r="D34" s="53"/>
      <c r="E34" s="113">
        <v>100.09</v>
      </c>
      <c r="F34" s="111">
        <v>108.1</v>
      </c>
      <c r="G34" s="53"/>
      <c r="H34" s="53"/>
      <c r="I34" s="5">
        <f t="shared" ref="I34:I62" si="2">AVERAGE($E32:$E34)^12/100^11-100</f>
        <v>5.4936577073865607</v>
      </c>
      <c r="J34" s="8"/>
      <c r="K34" s="8"/>
      <c r="L34" s="8"/>
      <c r="M34" s="8"/>
    </row>
    <row r="35" spans="1:13" ht="14.25" customHeight="1" x14ac:dyDescent="0.3">
      <c r="A35" s="46">
        <v>45536</v>
      </c>
      <c r="B35" s="53"/>
      <c r="C35" s="53"/>
      <c r="D35" s="53"/>
      <c r="E35" s="112">
        <v>100.62</v>
      </c>
      <c r="F35" s="111">
        <v>106.91</v>
      </c>
      <c r="G35" s="53"/>
      <c r="H35" s="53"/>
      <c r="I35" s="5">
        <f t="shared" si="2"/>
        <v>7.3570066212323866</v>
      </c>
      <c r="J35" s="8"/>
      <c r="K35" s="8"/>
      <c r="L35" s="8"/>
      <c r="M35" s="8"/>
    </row>
    <row r="36" spans="1:13" x14ac:dyDescent="0.3">
      <c r="A36" s="49">
        <v>45566</v>
      </c>
      <c r="B36" s="53"/>
      <c r="C36" s="53"/>
      <c r="D36" s="53"/>
      <c r="E36" s="113">
        <v>101.02</v>
      </c>
      <c r="F36" s="111">
        <v>107.49</v>
      </c>
      <c r="G36" s="53"/>
      <c r="H36" s="53"/>
      <c r="I36" s="5">
        <f t="shared" si="2"/>
        <v>7.1437534623089078</v>
      </c>
      <c r="J36" s="8"/>
      <c r="K36" s="8"/>
      <c r="L36" s="8"/>
      <c r="M36" s="8"/>
    </row>
    <row r="37" spans="1:13" x14ac:dyDescent="0.3">
      <c r="A37" s="64">
        <v>45597</v>
      </c>
      <c r="B37" s="65"/>
      <c r="C37" s="65"/>
      <c r="D37" s="65"/>
      <c r="E37" s="114">
        <v>101.5</v>
      </c>
      <c r="F37" s="115">
        <v>108.31</v>
      </c>
      <c r="G37" s="65"/>
      <c r="H37" s="65"/>
      <c r="I37" s="5">
        <f t="shared" si="2"/>
        <v>13.308867445393446</v>
      </c>
      <c r="J37" s="8"/>
      <c r="K37" s="8"/>
      <c r="L37" s="8"/>
      <c r="M37" s="8"/>
    </row>
    <row r="38" spans="1:13" x14ac:dyDescent="0.3">
      <c r="A38" s="49">
        <v>45627</v>
      </c>
      <c r="B38" s="57"/>
      <c r="C38" s="57"/>
      <c r="D38" s="57"/>
      <c r="E38" s="113">
        <v>100.91</v>
      </c>
      <c r="F38" s="111">
        <v>108.98</v>
      </c>
      <c r="G38" s="62"/>
      <c r="H38" s="57"/>
      <c r="I38" s="53">
        <f t="shared" si="2"/>
        <v>14.616501588558791</v>
      </c>
      <c r="J38" s="8"/>
      <c r="K38" s="8"/>
      <c r="L38" s="8"/>
      <c r="M38" s="8"/>
    </row>
    <row r="39" spans="1:13" x14ac:dyDescent="0.3">
      <c r="A39" s="59">
        <v>45658</v>
      </c>
      <c r="B39" s="55"/>
      <c r="C39" s="55"/>
      <c r="D39" s="55"/>
      <c r="E39" s="113">
        <v>100.84</v>
      </c>
      <c r="F39" s="113">
        <v>108.95</v>
      </c>
      <c r="G39" s="62"/>
      <c r="H39" s="62"/>
      <c r="I39" s="55">
        <f t="shared" si="2"/>
        <v>13.803248161387785</v>
      </c>
      <c r="J39" s="7"/>
      <c r="K39" s="7"/>
      <c r="L39" s="7"/>
      <c r="M39" s="7"/>
    </row>
    <row r="40" spans="1:13" x14ac:dyDescent="0.3">
      <c r="A40" s="60">
        <v>45689</v>
      </c>
      <c r="B40" s="55"/>
      <c r="C40" s="55"/>
      <c r="D40" s="55"/>
      <c r="E40" s="113">
        <v>101.34</v>
      </c>
      <c r="F40" s="113">
        <v>109.83</v>
      </c>
      <c r="G40" s="62"/>
      <c r="H40" s="62"/>
      <c r="I40" s="55">
        <f t="shared" si="2"/>
        <v>13.084800413622574</v>
      </c>
      <c r="J40" s="7"/>
      <c r="K40" s="7"/>
      <c r="L40" s="7"/>
      <c r="M40" s="7"/>
    </row>
    <row r="41" spans="1:13" ht="15" thickBot="1" x14ac:dyDescent="0.35">
      <c r="A41" s="71">
        <v>45717</v>
      </c>
      <c r="B41" s="66"/>
      <c r="C41" s="66"/>
      <c r="D41" s="66"/>
      <c r="E41" s="114">
        <v>100.81</v>
      </c>
      <c r="F41" s="114">
        <v>110.13</v>
      </c>
      <c r="G41" s="72"/>
      <c r="H41" s="72"/>
      <c r="I41" s="66">
        <f t="shared" si="2"/>
        <v>12.637884379001619</v>
      </c>
      <c r="J41" s="7"/>
      <c r="K41" s="7"/>
      <c r="L41" s="7"/>
      <c r="M41" s="7"/>
    </row>
    <row r="42" spans="1:13" ht="15" thickBot="1" x14ac:dyDescent="0.35">
      <c r="A42" s="78">
        <v>45748</v>
      </c>
      <c r="B42" s="79"/>
      <c r="C42" s="79"/>
      <c r="D42" s="79"/>
      <c r="E42" s="116">
        <v>100.53</v>
      </c>
      <c r="F42" s="116">
        <v>110.3</v>
      </c>
      <c r="G42" s="80"/>
      <c r="H42" s="80"/>
      <c r="I42" s="79">
        <f t="shared" si="2"/>
        <v>11.262713373249582</v>
      </c>
      <c r="J42" s="7"/>
      <c r="K42" s="7"/>
      <c r="L42" s="7"/>
      <c r="M42" s="7"/>
    </row>
    <row r="43" spans="1:13" x14ac:dyDescent="0.3">
      <c r="A43" s="74">
        <v>45778</v>
      </c>
      <c r="B43" s="75"/>
      <c r="C43" s="75"/>
      <c r="D43" s="75"/>
      <c r="E43" s="117">
        <v>99.93</v>
      </c>
      <c r="F43" s="117">
        <v>109.2</v>
      </c>
      <c r="G43" s="76"/>
      <c r="H43" s="76"/>
      <c r="I43" s="75">
        <f t="shared" si="2"/>
        <v>5.1999643920905925</v>
      </c>
      <c r="J43" s="7"/>
      <c r="K43" s="7"/>
      <c r="L43" s="7"/>
      <c r="M43" s="7"/>
    </row>
    <row r="44" spans="1:13" x14ac:dyDescent="0.3">
      <c r="A44" s="60">
        <v>45809</v>
      </c>
      <c r="B44" s="55"/>
      <c r="C44" s="55"/>
      <c r="D44" s="55"/>
      <c r="E44" s="113">
        <v>99.96</v>
      </c>
      <c r="F44" s="113">
        <v>108.96</v>
      </c>
      <c r="G44" s="62"/>
      <c r="H44" s="62"/>
      <c r="I44" s="55">
        <f t="shared" si="2"/>
        <v>1.6929965585858326</v>
      </c>
      <c r="J44" s="7"/>
      <c r="K44" s="7"/>
      <c r="L44" s="7"/>
      <c r="M44" s="7"/>
    </row>
    <row r="45" spans="1:13" x14ac:dyDescent="0.3">
      <c r="A45" s="59">
        <v>45839</v>
      </c>
      <c r="B45" s="55"/>
      <c r="C45" s="55"/>
      <c r="D45" s="55"/>
      <c r="E45" s="113">
        <v>100.36</v>
      </c>
      <c r="F45" s="113">
        <v>108.19</v>
      </c>
      <c r="G45" s="62"/>
      <c r="H45" s="62"/>
      <c r="I45" s="55">
        <f t="shared" si="2"/>
        <v>1.0045960887180883</v>
      </c>
      <c r="J45" s="5"/>
      <c r="K45" s="5"/>
      <c r="L45" s="5"/>
      <c r="M45" s="5"/>
    </row>
    <row r="46" spans="1:13" x14ac:dyDescent="0.3">
      <c r="A46" s="60">
        <v>45870</v>
      </c>
      <c r="B46" s="55"/>
      <c r="C46" s="55"/>
      <c r="D46" s="55"/>
      <c r="E46" s="113">
        <v>99.43</v>
      </c>
      <c r="F46" s="113">
        <v>107.48</v>
      </c>
      <c r="G46" s="62"/>
      <c r="H46" s="62"/>
      <c r="I46" s="55">
        <f t="shared" si="2"/>
        <v>-0.99542937430834399</v>
      </c>
      <c r="J46" s="5"/>
      <c r="K46" s="5"/>
      <c r="L46" s="5"/>
      <c r="M46" s="5"/>
    </row>
    <row r="47" spans="1:13" x14ac:dyDescent="0.3">
      <c r="A47" s="59">
        <v>45901</v>
      </c>
      <c r="B47" s="55"/>
      <c r="C47" s="55"/>
      <c r="D47" s="55"/>
      <c r="E47" s="113">
        <v>101</v>
      </c>
      <c r="F47" s="113">
        <v>107.88</v>
      </c>
      <c r="G47" s="62"/>
      <c r="H47" s="62"/>
      <c r="I47" s="55">
        <f t="shared" si="2"/>
        <v>3.2061714591574031</v>
      </c>
      <c r="J47" s="5"/>
      <c r="K47" s="5"/>
      <c r="L47" s="5"/>
      <c r="M47" s="5"/>
    </row>
    <row r="48" spans="1:13" ht="18.45" customHeight="1" x14ac:dyDescent="0.3">
      <c r="A48" s="60">
        <v>45931</v>
      </c>
      <c r="B48" s="55"/>
      <c r="C48" s="55"/>
      <c r="D48" s="55"/>
      <c r="E48" s="113">
        <v>100.53</v>
      </c>
      <c r="F48" s="113">
        <v>107.36</v>
      </c>
      <c r="G48" s="62"/>
      <c r="H48" s="62"/>
      <c r="I48" s="55">
        <f t="shared" si="2"/>
        <v>3.9083101131258928</v>
      </c>
      <c r="J48" s="5"/>
      <c r="K48" s="5"/>
      <c r="L48" s="5"/>
      <c r="M48" s="5"/>
    </row>
    <row r="49" spans="1:13" ht="15" thickBot="1" x14ac:dyDescent="0.35">
      <c r="A49" s="71">
        <v>45962</v>
      </c>
      <c r="B49" s="66"/>
      <c r="C49" s="55"/>
      <c r="D49" s="55"/>
      <c r="E49" s="114">
        <v>100.15</v>
      </c>
      <c r="F49" s="114">
        <v>105.93</v>
      </c>
      <c r="G49" s="72"/>
      <c r="H49" s="72"/>
      <c r="I49" s="66">
        <f t="shared" si="2"/>
        <v>6.9308886717982716</v>
      </c>
      <c r="J49" s="5"/>
      <c r="K49" s="5"/>
      <c r="L49" s="5"/>
      <c r="M49" s="5"/>
    </row>
    <row r="50" spans="1:13" ht="15" customHeight="1" thickBot="1" x14ac:dyDescent="0.35">
      <c r="A50" s="78">
        <v>45992</v>
      </c>
      <c r="B50" s="79"/>
      <c r="C50" s="55"/>
      <c r="D50" s="55"/>
      <c r="E50" s="116">
        <v>100.29</v>
      </c>
      <c r="F50" s="116">
        <v>105.28</v>
      </c>
      <c r="G50" s="80"/>
      <c r="H50" s="80"/>
      <c r="I50" s="79">
        <f t="shared" si="2"/>
        <v>3.949748431031864</v>
      </c>
      <c r="J50" s="5"/>
      <c r="K50" s="5"/>
      <c r="L50" s="5"/>
      <c r="M50" s="5"/>
    </row>
    <row r="51" spans="1:13" ht="15" thickBot="1" x14ac:dyDescent="0.35">
      <c r="A51" s="74">
        <v>46023</v>
      </c>
      <c r="B51" s="87"/>
      <c r="C51" s="55">
        <f t="shared" ref="C51:D57" si="3">E51-100</f>
        <v>1.5999999999999943</v>
      </c>
      <c r="D51" s="55">
        <f t="shared" si="3"/>
        <v>6.0699999999999932</v>
      </c>
      <c r="E51" s="75">
        <v>101.6</v>
      </c>
      <c r="F51" s="75">
        <f t="shared" ref="F51:F74" si="4">ROUND(PRODUCT(E40:E51)/100^11,2)</f>
        <v>106.07</v>
      </c>
      <c r="G51" s="118">
        <v>101.6</v>
      </c>
      <c r="H51" s="118">
        <v>106.07</v>
      </c>
      <c r="I51" s="79">
        <f t="shared" si="2"/>
        <v>8.4722085025153433</v>
      </c>
    </row>
    <row r="52" spans="1:13" ht="15" thickBot="1" x14ac:dyDescent="0.35">
      <c r="A52" s="60">
        <v>46054</v>
      </c>
      <c r="B52" s="56"/>
      <c r="C52" s="55">
        <f t="shared" si="3"/>
        <v>1.0999999999999943</v>
      </c>
      <c r="D52" s="55">
        <f t="shared" si="3"/>
        <v>5.8199999999999932</v>
      </c>
      <c r="E52" s="55">
        <v>101.1</v>
      </c>
      <c r="F52" s="55">
        <f t="shared" si="4"/>
        <v>105.82</v>
      </c>
      <c r="G52" s="107">
        <v>101.1</v>
      </c>
      <c r="H52" s="107">
        <v>105.82</v>
      </c>
      <c r="I52" s="79">
        <f t="shared" si="2"/>
        <v>12.637884379001619</v>
      </c>
    </row>
    <row r="53" spans="1:13" ht="15" thickBot="1" x14ac:dyDescent="0.35">
      <c r="A53" s="59">
        <v>46082</v>
      </c>
      <c r="B53" s="56"/>
      <c r="C53" s="55">
        <f t="shared" si="3"/>
        <v>0.54000000000000625</v>
      </c>
      <c r="D53" s="55">
        <f t="shared" si="3"/>
        <v>5.5400000000000063</v>
      </c>
      <c r="E53" s="70">
        <v>100.54</v>
      </c>
      <c r="F53" s="55">
        <f t="shared" si="4"/>
        <v>105.54</v>
      </c>
      <c r="G53" s="107">
        <v>100.54</v>
      </c>
      <c r="H53" s="107">
        <v>105.54</v>
      </c>
      <c r="I53" s="79">
        <f t="shared" si="2"/>
        <v>13.758222891107337</v>
      </c>
    </row>
    <row r="54" spans="1:13" ht="15" thickBot="1" x14ac:dyDescent="0.35">
      <c r="A54" s="60">
        <v>46113</v>
      </c>
      <c r="B54" s="56"/>
      <c r="C54" s="55">
        <f t="shared" si="3"/>
        <v>-0.28000000000000114</v>
      </c>
      <c r="D54" s="55">
        <f t="shared" si="3"/>
        <v>4.6899999999999977</v>
      </c>
      <c r="E54" s="55">
        <v>99.72</v>
      </c>
      <c r="F54" s="55">
        <f t="shared" si="4"/>
        <v>104.69</v>
      </c>
      <c r="G54" s="107">
        <v>99.72</v>
      </c>
      <c r="H54" s="107">
        <v>104.69</v>
      </c>
      <c r="I54" s="79">
        <f t="shared" si="2"/>
        <v>5.5777080228274372</v>
      </c>
    </row>
    <row r="55" spans="1:13" ht="15" thickBot="1" x14ac:dyDescent="0.35">
      <c r="A55" s="59">
        <v>46143</v>
      </c>
      <c r="B55" s="68"/>
      <c r="C55" s="55">
        <f t="shared" si="3"/>
        <v>9.9999999999994316E-2</v>
      </c>
      <c r="D55" s="55">
        <f t="shared" si="3"/>
        <v>4.8599999999999994</v>
      </c>
      <c r="E55" s="55">
        <v>100.1</v>
      </c>
      <c r="F55" s="55">
        <f t="shared" si="4"/>
        <v>104.86</v>
      </c>
      <c r="G55" s="107">
        <v>99.9</v>
      </c>
      <c r="H55" s="107">
        <v>104.66</v>
      </c>
      <c r="I55" s="79">
        <f t="shared" si="2"/>
        <v>1.4495421188405828</v>
      </c>
      <c r="J55" s="42"/>
      <c r="K55" s="42"/>
      <c r="L55" s="42"/>
      <c r="M55" s="42"/>
    </row>
    <row r="56" spans="1:13" ht="15" thickBot="1" x14ac:dyDescent="0.35">
      <c r="A56" s="60">
        <v>46174</v>
      </c>
      <c r="B56" s="56"/>
      <c r="C56" s="55">
        <f t="shared" si="3"/>
        <v>0.29999999999999716</v>
      </c>
      <c r="D56" s="55">
        <f t="shared" si="3"/>
        <v>5.2199999999999989</v>
      </c>
      <c r="E56" s="55">
        <v>100.3</v>
      </c>
      <c r="F56" s="55">
        <f t="shared" si="4"/>
        <v>105.22</v>
      </c>
      <c r="G56" s="107">
        <v>100</v>
      </c>
      <c r="H56" s="107">
        <v>104.7</v>
      </c>
      <c r="I56" s="79">
        <f t="shared" si="2"/>
        <v>0.4810574092681037</v>
      </c>
      <c r="J56"/>
      <c r="K56"/>
      <c r="L56"/>
      <c r="M56"/>
    </row>
    <row r="57" spans="1:13" ht="15" thickBot="1" x14ac:dyDescent="0.35">
      <c r="A57" s="59">
        <v>46204</v>
      </c>
      <c r="B57" s="69"/>
      <c r="C57" s="55">
        <f t="shared" si="3"/>
        <v>-9.9999999999994316E-2</v>
      </c>
      <c r="D57" s="55">
        <f t="shared" si="3"/>
        <v>4.7399999999999949</v>
      </c>
      <c r="E57" s="55">
        <v>99.9</v>
      </c>
      <c r="F57" s="55">
        <f t="shared" si="4"/>
        <v>104.74</v>
      </c>
      <c r="G57" s="107">
        <v>99.9</v>
      </c>
      <c r="H57" s="107">
        <v>104.22</v>
      </c>
      <c r="I57" s="79">
        <f t="shared" si="2"/>
        <v>1.2066220495790816</v>
      </c>
      <c r="J57"/>
      <c r="K57"/>
      <c r="L57"/>
      <c r="M57"/>
    </row>
    <row r="58" spans="1:13" ht="15" thickBot="1" x14ac:dyDescent="0.35">
      <c r="A58" s="60">
        <v>46235</v>
      </c>
      <c r="B58" s="69"/>
      <c r="C58" s="69"/>
      <c r="D58" s="69"/>
      <c r="E58" s="70">
        <v>99.85</v>
      </c>
      <c r="F58" s="55">
        <f t="shared" si="4"/>
        <v>105.18</v>
      </c>
      <c r="G58" s="107">
        <v>99.85</v>
      </c>
      <c r="H58" s="107">
        <v>104.66</v>
      </c>
      <c r="I58" s="79">
        <f t="shared" si="2"/>
        <v>0.20018343522315263</v>
      </c>
      <c r="J58"/>
      <c r="K58"/>
      <c r="L58"/>
      <c r="M58"/>
    </row>
    <row r="59" spans="1:13" ht="15" thickBot="1" x14ac:dyDescent="0.35">
      <c r="A59" s="59">
        <v>46266</v>
      </c>
      <c r="B59" s="69"/>
      <c r="C59" s="69"/>
      <c r="D59" s="69"/>
      <c r="E59" s="70">
        <v>100.45</v>
      </c>
      <c r="F59" s="55">
        <f t="shared" si="4"/>
        <v>104.61</v>
      </c>
      <c r="G59" s="107">
        <v>100.45</v>
      </c>
      <c r="H59" s="107">
        <v>104.09</v>
      </c>
      <c r="I59" s="79">
        <f t="shared" si="2"/>
        <v>0.80293986164002717</v>
      </c>
      <c r="J59"/>
      <c r="K59"/>
      <c r="L59"/>
      <c r="M59"/>
    </row>
    <row r="60" spans="1:13" ht="15" thickBot="1" x14ac:dyDescent="0.35">
      <c r="A60" s="60">
        <v>46296</v>
      </c>
      <c r="B60" s="56"/>
      <c r="C60" s="56"/>
      <c r="D60" s="56"/>
      <c r="E60" s="70">
        <v>101.3</v>
      </c>
      <c r="F60" s="55">
        <f t="shared" si="4"/>
        <v>105.41</v>
      </c>
      <c r="G60" s="107">
        <v>101.3</v>
      </c>
      <c r="H60" s="107">
        <v>104.88</v>
      </c>
      <c r="I60" s="79">
        <f t="shared" si="2"/>
        <v>6.5911112084870638</v>
      </c>
      <c r="J60"/>
      <c r="K60"/>
      <c r="L60"/>
      <c r="M60"/>
    </row>
    <row r="61" spans="1:13" ht="15" thickBot="1" x14ac:dyDescent="0.35">
      <c r="A61" s="59">
        <v>46327</v>
      </c>
      <c r="B61" s="56"/>
      <c r="C61" s="56"/>
      <c r="D61" s="56"/>
      <c r="E61" s="70">
        <v>100.3</v>
      </c>
      <c r="F61" s="55">
        <f t="shared" si="4"/>
        <v>105.57</v>
      </c>
      <c r="G61" s="107">
        <v>100.3</v>
      </c>
      <c r="H61" s="107">
        <v>105.04</v>
      </c>
      <c r="I61" s="79">
        <f t="shared" si="2"/>
        <v>8.5153121826659515</v>
      </c>
      <c r="J61"/>
      <c r="K61"/>
      <c r="L61"/>
      <c r="M61"/>
    </row>
    <row r="62" spans="1:13" ht="15" thickBot="1" x14ac:dyDescent="0.35">
      <c r="A62" s="60">
        <v>46357</v>
      </c>
      <c r="B62" s="56"/>
      <c r="C62" s="56"/>
      <c r="D62" s="56"/>
      <c r="E62" s="70">
        <v>100.35</v>
      </c>
      <c r="F62" s="55">
        <f t="shared" si="4"/>
        <v>105.63</v>
      </c>
      <c r="G62" s="107">
        <v>100.35</v>
      </c>
      <c r="H62" s="107">
        <v>105.1</v>
      </c>
      <c r="I62" s="79">
        <f t="shared" si="2"/>
        <v>8.0849810365515253</v>
      </c>
      <c r="J62"/>
      <c r="K62"/>
      <c r="L62"/>
      <c r="M62"/>
    </row>
    <row r="63" spans="1:13" x14ac:dyDescent="0.3">
      <c r="A63" s="59">
        <v>46388</v>
      </c>
      <c r="E63" s="8">
        <v>100.95</v>
      </c>
      <c r="F63" s="55">
        <f t="shared" si="4"/>
        <v>104.96</v>
      </c>
      <c r="G63" s="31">
        <v>100.95</v>
      </c>
      <c r="H63" s="31">
        <v>104.43</v>
      </c>
      <c r="I63" s="8"/>
      <c r="J63"/>
      <c r="K63"/>
      <c r="L63"/>
      <c r="M63"/>
    </row>
    <row r="64" spans="1:13" x14ac:dyDescent="0.3">
      <c r="A64" s="60">
        <v>46419</v>
      </c>
      <c r="E64" s="8">
        <v>100.65</v>
      </c>
      <c r="F64" s="55">
        <f t="shared" si="4"/>
        <v>104.49</v>
      </c>
      <c r="G64" s="31">
        <v>100.65</v>
      </c>
      <c r="H64" s="31">
        <v>103.97</v>
      </c>
      <c r="I64" s="8"/>
      <c r="J64"/>
      <c r="K64"/>
      <c r="L64"/>
      <c r="M64"/>
    </row>
    <row r="65" spans="1:13" x14ac:dyDescent="0.3">
      <c r="A65" s="59">
        <v>46447</v>
      </c>
      <c r="E65" s="8">
        <v>100.5</v>
      </c>
      <c r="F65" s="55">
        <f t="shared" si="4"/>
        <v>104.45</v>
      </c>
      <c r="G65" s="31">
        <v>100.5</v>
      </c>
      <c r="H65" s="31">
        <v>103.93</v>
      </c>
      <c r="I65" s="8"/>
      <c r="J65"/>
      <c r="K65"/>
      <c r="L65"/>
      <c r="M65"/>
    </row>
    <row r="66" spans="1:13" x14ac:dyDescent="0.3">
      <c r="A66" s="60">
        <v>46478</v>
      </c>
      <c r="E66" s="8">
        <v>100.45</v>
      </c>
      <c r="F66" s="55">
        <f t="shared" si="4"/>
        <v>105.21</v>
      </c>
      <c r="G66" s="31">
        <v>100.45</v>
      </c>
      <c r="H66" s="31">
        <v>104.69</v>
      </c>
      <c r="I66" s="8"/>
      <c r="J66"/>
      <c r="K66"/>
      <c r="L66"/>
      <c r="M66"/>
    </row>
    <row r="67" spans="1:13" x14ac:dyDescent="0.3">
      <c r="A67" s="59">
        <v>46508</v>
      </c>
      <c r="E67" s="8">
        <v>100.2</v>
      </c>
      <c r="F67" s="55">
        <f t="shared" si="4"/>
        <v>105.32</v>
      </c>
      <c r="G67" s="31">
        <v>100.2</v>
      </c>
      <c r="H67" s="31">
        <v>105</v>
      </c>
      <c r="I67" s="8"/>
      <c r="J67"/>
      <c r="K67"/>
      <c r="L67"/>
      <c r="M67"/>
    </row>
    <row r="68" spans="1:13" x14ac:dyDescent="0.3">
      <c r="A68" s="60">
        <v>46539</v>
      </c>
      <c r="E68" s="8">
        <v>100.1</v>
      </c>
      <c r="F68" s="55">
        <f t="shared" si="4"/>
        <v>105.11</v>
      </c>
      <c r="G68" s="31">
        <v>100.1</v>
      </c>
      <c r="H68" s="31">
        <v>105.11</v>
      </c>
      <c r="I68" s="8"/>
      <c r="J68"/>
      <c r="K68"/>
      <c r="L68"/>
      <c r="M68"/>
    </row>
    <row r="69" spans="1:13" x14ac:dyDescent="0.3">
      <c r="A69" s="59">
        <v>46569</v>
      </c>
      <c r="E69" s="8">
        <v>100.05</v>
      </c>
      <c r="F69" s="55">
        <f t="shared" si="4"/>
        <v>105.26</v>
      </c>
      <c r="G69" s="31">
        <v>100.05</v>
      </c>
      <c r="H69" s="31">
        <v>105.26</v>
      </c>
      <c r="I69" s="8"/>
      <c r="J69"/>
      <c r="K69"/>
      <c r="L69"/>
      <c r="M69"/>
    </row>
    <row r="70" spans="1:13" x14ac:dyDescent="0.3">
      <c r="A70" s="60">
        <v>46600</v>
      </c>
      <c r="E70" s="8">
        <v>99.95</v>
      </c>
      <c r="F70" s="55">
        <f t="shared" si="4"/>
        <v>105.37</v>
      </c>
      <c r="G70" s="31">
        <v>99.95</v>
      </c>
      <c r="H70" s="31">
        <v>105.37</v>
      </c>
      <c r="I70" s="8"/>
      <c r="J70"/>
      <c r="K70"/>
      <c r="L70"/>
      <c r="M70"/>
    </row>
    <row r="71" spans="1:13" x14ac:dyDescent="0.3">
      <c r="A71" s="59">
        <v>46631</v>
      </c>
      <c r="E71" s="8">
        <v>100.45</v>
      </c>
      <c r="F71" s="55">
        <f t="shared" si="4"/>
        <v>105.37</v>
      </c>
      <c r="G71" s="31">
        <v>100.45</v>
      </c>
      <c r="H71" s="31">
        <v>105.37</v>
      </c>
      <c r="I71" s="8"/>
      <c r="J71"/>
      <c r="K71"/>
      <c r="L71"/>
      <c r="M71"/>
    </row>
    <row r="72" spans="1:13" x14ac:dyDescent="0.3">
      <c r="A72" s="60">
        <v>46661</v>
      </c>
      <c r="E72" s="8">
        <v>100.45</v>
      </c>
      <c r="F72" s="55">
        <f t="shared" si="4"/>
        <v>104.49</v>
      </c>
      <c r="G72" s="31">
        <v>100.45</v>
      </c>
      <c r="H72" s="31">
        <v>104.49</v>
      </c>
      <c r="I72" s="8"/>
      <c r="J72"/>
      <c r="K72"/>
      <c r="L72"/>
      <c r="M72"/>
    </row>
    <row r="73" spans="1:13" x14ac:dyDescent="0.3">
      <c r="A73" s="59">
        <v>46692</v>
      </c>
      <c r="E73" s="8">
        <v>100.2</v>
      </c>
      <c r="F73" s="55">
        <f t="shared" si="4"/>
        <v>104.38</v>
      </c>
      <c r="G73" s="31">
        <v>100.2</v>
      </c>
      <c r="H73" s="31">
        <v>104.38</v>
      </c>
      <c r="I73" s="8"/>
      <c r="J73"/>
      <c r="K73"/>
      <c r="L73"/>
      <c r="M73"/>
    </row>
    <row r="74" spans="1:13" x14ac:dyDescent="0.3">
      <c r="A74" s="60">
        <v>46722</v>
      </c>
      <c r="E74" s="8">
        <v>100</v>
      </c>
      <c r="F74" s="55">
        <f t="shared" si="4"/>
        <v>104.02</v>
      </c>
      <c r="G74" s="31">
        <v>100</v>
      </c>
      <c r="H74" s="31">
        <v>104.02</v>
      </c>
      <c r="I74" s="8"/>
      <c r="J74"/>
      <c r="K74"/>
      <c r="L74"/>
      <c r="M74"/>
    </row>
    <row r="75" spans="1:13" x14ac:dyDescent="0.3">
      <c r="A75" s="40"/>
      <c r="E75" s="22"/>
      <c r="F75" s="8"/>
      <c r="G75" s="31"/>
      <c r="H75" s="31"/>
      <c r="I75" s="8"/>
      <c r="J75"/>
      <c r="K75"/>
      <c r="L75"/>
      <c r="M75"/>
    </row>
    <row r="76" spans="1:13" x14ac:dyDescent="0.3">
      <c r="A76" s="40"/>
      <c r="E76" s="22"/>
      <c r="F76" s="8"/>
      <c r="G76" s="31"/>
      <c r="H76" s="31"/>
      <c r="I76" s="8"/>
      <c r="J76"/>
      <c r="K76"/>
      <c r="L76"/>
      <c r="M76"/>
    </row>
    <row r="77" spans="1:13" x14ac:dyDescent="0.3">
      <c r="A77" s="40"/>
      <c r="E77" s="22"/>
      <c r="F77" s="8"/>
      <c r="G77" s="31"/>
      <c r="H77" s="31"/>
      <c r="I77" s="8"/>
      <c r="J77"/>
      <c r="K77"/>
      <c r="L77"/>
      <c r="M77"/>
    </row>
    <row r="78" spans="1:13" x14ac:dyDescent="0.3">
      <c r="A78" s="40"/>
      <c r="E78" s="22"/>
      <c r="F78" s="8"/>
      <c r="G78" s="31"/>
      <c r="H78" s="31"/>
      <c r="I78" s="8"/>
      <c r="J78"/>
      <c r="K78"/>
      <c r="L78"/>
      <c r="M78"/>
    </row>
    <row r="79" spans="1:13" x14ac:dyDescent="0.3">
      <c r="A79" s="40"/>
      <c r="E79" s="22"/>
      <c r="F79" s="8"/>
      <c r="G79" s="31"/>
      <c r="H79" s="31"/>
      <c r="I79" s="8"/>
      <c r="J79"/>
      <c r="K79"/>
      <c r="L79"/>
      <c r="M79"/>
    </row>
    <row r="80" spans="1:13" x14ac:dyDescent="0.3">
      <c r="A80"/>
    </row>
    <row r="81" spans="7:13" x14ac:dyDescent="0.3">
      <c r="G81" s="5"/>
      <c r="H81" s="5"/>
      <c r="J81"/>
      <c r="K81"/>
      <c r="L81"/>
      <c r="M81"/>
    </row>
    <row r="82" spans="7:13" x14ac:dyDescent="0.3">
      <c r="G82" s="5"/>
      <c r="H82" s="5"/>
      <c r="J82"/>
      <c r="K82"/>
      <c r="L82"/>
      <c r="M82"/>
    </row>
    <row r="83" spans="7:13" x14ac:dyDescent="0.3">
      <c r="J83"/>
      <c r="K83"/>
      <c r="L83"/>
      <c r="M83"/>
    </row>
    <row r="84" spans="7:13" x14ac:dyDescent="0.3">
      <c r="J84"/>
      <c r="K84"/>
      <c r="L84"/>
      <c r="M84"/>
    </row>
    <row r="85" spans="7:13" x14ac:dyDescent="0.3">
      <c r="J85"/>
      <c r="K85"/>
      <c r="L85"/>
      <c r="M85"/>
    </row>
    <row r="86" spans="7:13" x14ac:dyDescent="0.3">
      <c r="J86"/>
      <c r="K86"/>
      <c r="L86"/>
      <c r="M86"/>
    </row>
    <row r="87" spans="7:13" x14ac:dyDescent="0.3">
      <c r="J87"/>
      <c r="K87"/>
      <c r="L87"/>
      <c r="M87"/>
    </row>
    <row r="88" spans="7:13" x14ac:dyDescent="0.3">
      <c r="J88"/>
      <c r="K88"/>
      <c r="L88"/>
      <c r="M88"/>
    </row>
    <row r="89" spans="7:13" x14ac:dyDescent="0.3">
      <c r="J89"/>
      <c r="K89"/>
      <c r="L89"/>
      <c r="M89"/>
    </row>
    <row r="90" spans="7:13" x14ac:dyDescent="0.3">
      <c r="J90"/>
      <c r="K90"/>
      <c r="L90"/>
      <c r="M90"/>
    </row>
    <row r="91" spans="7:13" x14ac:dyDescent="0.3">
      <c r="J91"/>
      <c r="K91"/>
      <c r="L91"/>
      <c r="M91"/>
    </row>
    <row r="92" spans="7:13" x14ac:dyDescent="0.3">
      <c r="J92"/>
      <c r="K92"/>
      <c r="L92"/>
      <c r="M92"/>
    </row>
    <row r="93" spans="7:13" x14ac:dyDescent="0.3">
      <c r="J93"/>
      <c r="K93"/>
      <c r="L93"/>
      <c r="M93"/>
    </row>
  </sheetData>
  <conditionalFormatting sqref="J23:M24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100"/>
  <sheetViews>
    <sheetView zoomScale="115" zoomScaleNormal="115" workbookViewId="0">
      <pane ySplit="2" topLeftCell="A38" activePane="bottomLeft" state="frozen"/>
      <selection pane="bottomLeft" activeCell="E46" sqref="E46"/>
    </sheetView>
  </sheetViews>
  <sheetFormatPr defaultRowHeight="14.4" x14ac:dyDescent="0.3"/>
  <cols>
    <col min="1" max="1" width="14.09765625" style="3" bestFit="1" customWidth="1"/>
    <col min="2" max="2" width="11" style="14" hidden="1" customWidth="1"/>
    <col min="3" max="4" width="11" style="14" customWidth="1"/>
    <col min="5" max="6" width="11.09765625" style="7" bestFit="1" customWidth="1"/>
    <col min="7" max="8" width="13.59765625" style="14" hidden="1" customWidth="1"/>
    <col min="9" max="9" width="6.69921875" style="14" hidden="1" customWidth="1"/>
    <col min="10" max="10" width="10.8984375" style="7" bestFit="1" customWidth="1"/>
    <col min="11" max="11" width="12.59765625" style="7" customWidth="1"/>
    <col min="12" max="12" width="10.8984375" style="2" bestFit="1" customWidth="1"/>
    <col min="13" max="13" width="8.3984375" style="2" customWidth="1"/>
    <col min="14" max="15" width="12.8984375" style="2" bestFit="1" customWidth="1"/>
    <col min="16" max="16" width="11.296875" style="2" customWidth="1"/>
    <col min="17" max="17" width="10.8984375" style="2" bestFit="1" customWidth="1"/>
    <col min="18" max="18" width="13.296875" style="2" bestFit="1" customWidth="1"/>
    <col min="19" max="19" width="5.8984375" style="25" customWidth="1"/>
    <col min="20" max="20" width="14.59765625" style="25" customWidth="1"/>
    <col min="21" max="21" width="11.3984375" style="25" bestFit="1" customWidth="1"/>
    <col min="22" max="22" width="8.296875" style="25" bestFit="1" customWidth="1"/>
    <col min="23" max="23" width="11.69921875" style="25" customWidth="1"/>
    <col min="24" max="24" width="17.59765625" style="25" bestFit="1" customWidth="1"/>
    <col min="25" max="25" width="14" style="25" bestFit="1" customWidth="1"/>
    <col min="26" max="26" width="19.8984375" style="25" bestFit="1" customWidth="1"/>
    <col min="27" max="27" width="18.296875" style="25" bestFit="1" customWidth="1"/>
    <col min="28" max="28" width="11.59765625" style="25" bestFit="1" customWidth="1"/>
    <col min="29" max="29" width="8.296875" style="25" bestFit="1" customWidth="1"/>
    <col min="30" max="30" width="7.296875" style="25" bestFit="1" customWidth="1"/>
    <col min="31" max="31" width="14.69921875" style="25" bestFit="1" customWidth="1"/>
    <col min="32" max="32" width="8.8984375" style="25" bestFit="1" customWidth="1"/>
    <col min="33" max="33" width="8" style="25" bestFit="1" customWidth="1"/>
    <col min="34" max="34" width="7.296875" style="25" bestFit="1" customWidth="1"/>
    <col min="35" max="54" width="8.3984375" style="2" customWidth="1"/>
    <col min="55" max="55" width="6.69921875" style="2" customWidth="1"/>
    <col min="56" max="56" width="14.09765625" style="2" customWidth="1"/>
    <col min="57" max="57" width="13" customWidth="1"/>
    <col min="58" max="58" width="8" customWidth="1"/>
    <col min="59" max="59" width="9.69921875" bestFit="1" customWidth="1"/>
    <col min="60" max="60" width="11.09765625" customWidth="1"/>
    <col min="61" max="62" width="7" bestFit="1" customWidth="1"/>
    <col min="63" max="63" width="10.59765625" bestFit="1" customWidth="1"/>
    <col min="64" max="64" width="11.69921875" customWidth="1"/>
    <col min="65" max="65" width="16.3984375" customWidth="1"/>
    <col min="66" max="66" width="11.09765625" bestFit="1" customWidth="1"/>
    <col min="67" max="67" width="11.09765625" style="3" bestFit="1" customWidth="1"/>
    <col min="68" max="70" width="11.09765625" bestFit="1" customWidth="1"/>
    <col min="71" max="71" width="11.09765625" style="1" bestFit="1" customWidth="1"/>
    <col min="72" max="81" width="11.09765625" bestFit="1" customWidth="1"/>
  </cols>
  <sheetData>
    <row r="1" spans="1:71" ht="28.8" x14ac:dyDescent="0.3">
      <c r="E1" s="38">
        <v>45887</v>
      </c>
      <c r="F1" s="38">
        <v>45887</v>
      </c>
      <c r="J1" s="37">
        <v>45887</v>
      </c>
      <c r="L1" s="37">
        <v>45887</v>
      </c>
      <c r="N1" s="38">
        <v>45841</v>
      </c>
      <c r="O1" s="38">
        <v>45841</v>
      </c>
      <c r="P1" s="37">
        <v>45750</v>
      </c>
      <c r="Q1" s="37"/>
      <c r="T1" s="25" t="s">
        <v>47</v>
      </c>
      <c r="U1" s="25" t="s">
        <v>48</v>
      </c>
      <c r="V1" s="25" t="s">
        <v>49</v>
      </c>
      <c r="W1" s="25" t="s">
        <v>50</v>
      </c>
      <c r="X1" s="25" t="s">
        <v>51</v>
      </c>
      <c r="Y1" s="25" t="s">
        <v>52</v>
      </c>
      <c r="Z1" s="25" t="s">
        <v>53</v>
      </c>
      <c r="AA1" s="25" t="s">
        <v>54</v>
      </c>
      <c r="AB1" s="25" t="s">
        <v>55</v>
      </c>
      <c r="AC1" s="25" t="s">
        <v>56</v>
      </c>
      <c r="AD1" s="25" t="s">
        <v>57</v>
      </c>
      <c r="AE1" s="25" t="s">
        <v>58</v>
      </c>
      <c r="AF1" s="25" t="s">
        <v>59</v>
      </c>
      <c r="AG1" s="25" t="s">
        <v>60</v>
      </c>
      <c r="AH1" s="25" t="s">
        <v>61</v>
      </c>
      <c r="BD1" s="38">
        <v>45580</v>
      </c>
      <c r="BE1" s="38">
        <v>45580</v>
      </c>
    </row>
    <row r="2" spans="1:71" ht="28.8" x14ac:dyDescent="0.3">
      <c r="A2" s="44" t="s">
        <v>0</v>
      </c>
      <c r="B2" s="45">
        <v>-0.5</v>
      </c>
      <c r="C2" s="45"/>
      <c r="D2" s="45"/>
      <c r="E2" s="44" t="s">
        <v>1</v>
      </c>
      <c r="F2" s="44" t="s">
        <v>2</v>
      </c>
      <c r="G2" s="45" t="s">
        <v>40</v>
      </c>
      <c r="H2" s="45" t="s">
        <v>41</v>
      </c>
      <c r="I2" s="10" t="s">
        <v>32</v>
      </c>
      <c r="J2" s="15" t="s">
        <v>23</v>
      </c>
      <c r="K2" s="6" t="s">
        <v>9</v>
      </c>
      <c r="L2" s="15" t="s">
        <v>4</v>
      </c>
      <c r="M2" s="6" t="s">
        <v>8</v>
      </c>
      <c r="N2" s="6" t="s">
        <v>33</v>
      </c>
      <c r="O2" s="6" t="s">
        <v>34</v>
      </c>
      <c r="P2" s="6" t="s">
        <v>10</v>
      </c>
      <c r="Q2" s="6" t="s">
        <v>11</v>
      </c>
      <c r="R2" s="6"/>
      <c r="S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7" t="s">
        <v>5</v>
      </c>
      <c r="BD2" s="6" t="s">
        <v>37</v>
      </c>
      <c r="BO2"/>
      <c r="BS2"/>
    </row>
    <row r="3" spans="1:71" x14ac:dyDescent="0.3">
      <c r="A3" s="46">
        <v>44562</v>
      </c>
      <c r="B3" s="47"/>
      <c r="C3" s="47"/>
      <c r="D3" s="47"/>
      <c r="E3" s="48">
        <v>101.22</v>
      </c>
      <c r="F3" s="48">
        <v>108.84</v>
      </c>
      <c r="G3" s="47"/>
      <c r="H3" s="47"/>
      <c r="I3" s="5"/>
      <c r="J3" s="8"/>
      <c r="K3" s="9"/>
      <c r="L3" s="15"/>
      <c r="M3" s="15"/>
      <c r="N3" s="15"/>
      <c r="O3" s="15"/>
      <c r="P3" s="15"/>
      <c r="Q3" s="15"/>
      <c r="R3" s="15"/>
      <c r="S3" s="6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7"/>
      <c r="BD3" s="40">
        <v>44562</v>
      </c>
      <c r="BE3">
        <v>1.22</v>
      </c>
      <c r="BG3">
        <v>100</v>
      </c>
      <c r="BH3">
        <f>BE3+$BG$3</f>
        <v>101.22</v>
      </c>
      <c r="BO3"/>
      <c r="BS3"/>
    </row>
    <row r="4" spans="1:71" x14ac:dyDescent="0.3">
      <c r="A4" s="49">
        <v>44593</v>
      </c>
      <c r="B4" s="47"/>
      <c r="C4" s="47"/>
      <c r="D4" s="47"/>
      <c r="E4" s="48">
        <v>100.94</v>
      </c>
      <c r="F4" s="48">
        <v>108.73</v>
      </c>
      <c r="G4" s="47"/>
      <c r="H4" s="47"/>
      <c r="I4" s="5"/>
      <c r="J4" s="8"/>
      <c r="K4" s="9"/>
      <c r="L4" s="15"/>
      <c r="M4" s="15"/>
      <c r="N4" s="15"/>
      <c r="O4" s="15"/>
      <c r="P4" s="15"/>
      <c r="Q4" s="15"/>
      <c r="R4" s="15"/>
      <c r="S4" s="6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7"/>
      <c r="BD4" s="40">
        <v>44593</v>
      </c>
      <c r="BE4">
        <v>0.94</v>
      </c>
      <c r="BH4">
        <f t="shared" ref="BH4:BH35" si="0">BE4+$BG$3</f>
        <v>100.94</v>
      </c>
      <c r="BO4"/>
      <c r="BS4"/>
    </row>
    <row r="5" spans="1:71" x14ac:dyDescent="0.3">
      <c r="A5" s="46">
        <v>44621</v>
      </c>
      <c r="B5" s="47"/>
      <c r="C5" s="47"/>
      <c r="D5" s="47"/>
      <c r="E5" s="48">
        <v>105.55</v>
      </c>
      <c r="F5" s="48">
        <v>113.28999999999999</v>
      </c>
      <c r="G5" s="47"/>
      <c r="H5" s="47"/>
      <c r="I5" s="5">
        <f t="shared" ref="I5:I50" si="1">AVERAGE($E3:$E5)^12/100^11-100</f>
        <v>35.595184449015164</v>
      </c>
      <c r="J5" s="8"/>
      <c r="K5" s="9"/>
      <c r="L5" s="15"/>
      <c r="M5" s="15"/>
      <c r="N5" s="15"/>
      <c r="O5" s="15"/>
      <c r="P5" s="15"/>
      <c r="Q5" s="15"/>
      <c r="R5" s="15"/>
      <c r="S5" s="6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7"/>
      <c r="BD5" s="40">
        <v>44621</v>
      </c>
      <c r="BE5">
        <v>5.55</v>
      </c>
      <c r="BH5">
        <f t="shared" si="0"/>
        <v>105.55</v>
      </c>
      <c r="BO5"/>
      <c r="BS5"/>
    </row>
    <row r="6" spans="1:71" x14ac:dyDescent="0.3">
      <c r="A6" s="49">
        <v>44652</v>
      </c>
      <c r="B6" s="47"/>
      <c r="C6" s="47"/>
      <c r="D6" s="47"/>
      <c r="E6" s="48">
        <v>103.28</v>
      </c>
      <c r="F6" s="48">
        <v>116</v>
      </c>
      <c r="G6" s="47"/>
      <c r="H6" s="47"/>
      <c r="I6" s="5">
        <f t="shared" si="1"/>
        <v>46.8984496892717</v>
      </c>
      <c r="J6" s="8"/>
      <c r="K6" s="9"/>
      <c r="L6" s="15"/>
      <c r="M6" s="15"/>
      <c r="N6" s="15"/>
      <c r="O6" s="15"/>
      <c r="P6" s="15"/>
      <c r="Q6" s="15"/>
      <c r="R6" s="15"/>
      <c r="S6" s="6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7"/>
      <c r="BD6" s="40">
        <v>44652</v>
      </c>
      <c r="BE6">
        <v>3.28</v>
      </c>
      <c r="BH6">
        <f t="shared" si="0"/>
        <v>103.28</v>
      </c>
      <c r="BO6"/>
      <c r="BS6"/>
    </row>
    <row r="7" spans="1:71" x14ac:dyDescent="0.3">
      <c r="A7" s="46">
        <v>44682</v>
      </c>
      <c r="B7" s="47"/>
      <c r="C7" s="47"/>
      <c r="D7" s="47"/>
      <c r="E7" s="48">
        <v>100.68</v>
      </c>
      <c r="F7" s="48">
        <v>116.31</v>
      </c>
      <c r="G7" s="47"/>
      <c r="H7" s="47"/>
      <c r="I7" s="5">
        <f t="shared" si="1"/>
        <v>45.425701194734813</v>
      </c>
      <c r="J7" s="8"/>
      <c r="K7" s="9"/>
      <c r="L7" s="7"/>
      <c r="M7" s="7"/>
      <c r="N7" s="7"/>
      <c r="O7" s="7"/>
      <c r="P7" s="7"/>
      <c r="Q7" s="7"/>
      <c r="R7" s="7"/>
      <c r="S7" s="94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40">
        <v>44682</v>
      </c>
      <c r="BE7">
        <v>0.68</v>
      </c>
      <c r="BH7">
        <f t="shared" si="0"/>
        <v>100.68</v>
      </c>
      <c r="BO7"/>
      <c r="BS7"/>
    </row>
    <row r="8" spans="1:71" x14ac:dyDescent="0.3">
      <c r="A8" s="49">
        <v>44713</v>
      </c>
      <c r="B8" s="50"/>
      <c r="C8" s="50"/>
      <c r="D8" s="50"/>
      <c r="E8" s="51">
        <v>99.32</v>
      </c>
      <c r="F8" s="51">
        <v>114.88</v>
      </c>
      <c r="G8" s="50"/>
      <c r="H8" s="50"/>
      <c r="I8" s="5">
        <f t="shared" si="1"/>
        <v>13.938422005549114</v>
      </c>
      <c r="J8" s="8"/>
      <c r="K8" s="4"/>
      <c r="L8" s="7"/>
      <c r="M8" s="7"/>
      <c r="N8" s="7"/>
      <c r="O8" s="7"/>
      <c r="P8" s="7"/>
      <c r="Q8" s="7"/>
      <c r="R8" s="7"/>
      <c r="S8" s="94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40">
        <v>44713</v>
      </c>
      <c r="BE8">
        <v>-0.68</v>
      </c>
      <c r="BH8">
        <f t="shared" si="0"/>
        <v>99.32</v>
      </c>
      <c r="BO8"/>
      <c r="BS8"/>
    </row>
    <row r="9" spans="1:71" x14ac:dyDescent="0.3">
      <c r="A9" s="46">
        <v>44743</v>
      </c>
      <c r="B9" s="50"/>
      <c r="C9" s="50"/>
      <c r="D9" s="50"/>
      <c r="E9" s="51">
        <v>99.23</v>
      </c>
      <c r="F9" s="51">
        <v>113.75</v>
      </c>
      <c r="G9" s="50"/>
      <c r="H9" s="50"/>
      <c r="I9" s="5">
        <f t="shared" si="1"/>
        <v>-3.036890517072834</v>
      </c>
      <c r="J9" s="8"/>
      <c r="K9" s="4"/>
      <c r="L9" s="7"/>
      <c r="M9" s="7"/>
      <c r="N9" s="7"/>
      <c r="O9" s="7"/>
      <c r="P9" s="7"/>
      <c r="Q9" s="7"/>
      <c r="R9" s="7"/>
      <c r="S9" s="94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40">
        <v>44743</v>
      </c>
      <c r="BE9">
        <v>-0.77</v>
      </c>
      <c r="BH9">
        <f t="shared" si="0"/>
        <v>99.23</v>
      </c>
      <c r="BO9"/>
      <c r="BS9"/>
    </row>
    <row r="10" spans="1:71" x14ac:dyDescent="0.3">
      <c r="A10" s="49">
        <v>44774</v>
      </c>
      <c r="B10" s="50"/>
      <c r="C10" s="50"/>
      <c r="D10" s="50"/>
      <c r="E10" s="51">
        <v>99.43</v>
      </c>
      <c r="F10" s="51">
        <v>112.92</v>
      </c>
      <c r="G10" s="50"/>
      <c r="H10" s="50"/>
      <c r="I10" s="5">
        <f t="shared" si="1"/>
        <v>-7.7873860424702173</v>
      </c>
      <c r="J10" s="8"/>
      <c r="K10" s="4"/>
      <c r="L10" s="7"/>
      <c r="M10" s="7"/>
      <c r="N10" s="7"/>
      <c r="O10" s="7"/>
      <c r="P10" s="7"/>
      <c r="Q10" s="7"/>
      <c r="R10" s="7"/>
      <c r="S10" s="94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40">
        <v>44774</v>
      </c>
      <c r="BE10">
        <v>-0.56999999999999995</v>
      </c>
      <c r="BH10">
        <f t="shared" si="0"/>
        <v>99.43</v>
      </c>
      <c r="BO10"/>
      <c r="BS10"/>
    </row>
    <row r="11" spans="1:71" x14ac:dyDescent="0.3">
      <c r="A11" s="46">
        <v>44805</v>
      </c>
      <c r="B11" s="50"/>
      <c r="C11" s="50"/>
      <c r="D11" s="50"/>
      <c r="E11" s="51">
        <v>100.33</v>
      </c>
      <c r="F11" s="51">
        <v>112.46000000000001</v>
      </c>
      <c r="G11" s="50"/>
      <c r="H11" s="50"/>
      <c r="I11" s="5">
        <f t="shared" si="1"/>
        <v>-3.9660258460593951</v>
      </c>
      <c r="J11" s="8"/>
      <c r="K11" s="4"/>
      <c r="L11" s="7"/>
      <c r="M11" s="7"/>
      <c r="N11" s="7"/>
      <c r="O11" s="7"/>
      <c r="P11" s="7"/>
      <c r="Q11" s="7"/>
      <c r="R11" s="7"/>
      <c r="S11" s="94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40">
        <v>44805</v>
      </c>
      <c r="BE11">
        <v>0.33</v>
      </c>
      <c r="BH11">
        <f t="shared" si="0"/>
        <v>100.33</v>
      </c>
      <c r="BO11"/>
      <c r="BS11"/>
    </row>
    <row r="12" spans="1:71" x14ac:dyDescent="0.3">
      <c r="A12" s="49">
        <v>44835</v>
      </c>
      <c r="B12" s="50"/>
      <c r="C12" s="50"/>
      <c r="D12" s="50"/>
      <c r="E12" s="51">
        <v>100.66</v>
      </c>
      <c r="F12" s="51">
        <v>112.17</v>
      </c>
      <c r="G12" s="50"/>
      <c r="H12" s="50"/>
      <c r="I12" s="5">
        <f t="shared" si="1"/>
        <v>1.6929965585857332</v>
      </c>
      <c r="J12" s="8"/>
      <c r="K12" s="4"/>
      <c r="L12" s="7"/>
      <c r="M12" s="7"/>
      <c r="N12" s="7"/>
      <c r="O12" s="7"/>
      <c r="P12" s="7"/>
      <c r="Q12" s="7"/>
      <c r="R12" s="7"/>
      <c r="S12" s="94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40">
        <v>44835</v>
      </c>
      <c r="BE12">
        <v>0.66</v>
      </c>
      <c r="BH12">
        <f t="shared" si="0"/>
        <v>100.66</v>
      </c>
      <c r="BO12"/>
      <c r="BS12"/>
    </row>
    <row r="13" spans="1:71" x14ac:dyDescent="0.3">
      <c r="A13" s="46">
        <v>44866</v>
      </c>
      <c r="B13" s="50"/>
      <c r="C13" s="50"/>
      <c r="D13" s="50"/>
      <c r="E13" s="51">
        <v>100.26</v>
      </c>
      <c r="F13" s="51">
        <v>111.51</v>
      </c>
      <c r="G13" s="50"/>
      <c r="H13" s="50"/>
      <c r="I13" s="5">
        <f t="shared" si="1"/>
        <v>5.1161897881733722</v>
      </c>
      <c r="J13" s="8"/>
      <c r="K13" s="4"/>
      <c r="L13" s="7"/>
      <c r="M13" s="7"/>
      <c r="N13" s="7"/>
      <c r="O13" s="7"/>
      <c r="P13" s="7"/>
      <c r="Q13" s="7"/>
      <c r="R13" s="7"/>
      <c r="S13" s="94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40">
        <v>44866</v>
      </c>
      <c r="BE13">
        <v>0.26</v>
      </c>
      <c r="BH13">
        <f t="shared" si="0"/>
        <v>100.26</v>
      </c>
      <c r="BO13"/>
      <c r="BS13"/>
    </row>
    <row r="14" spans="1:71" x14ac:dyDescent="0.3">
      <c r="A14" s="49">
        <v>44896</v>
      </c>
      <c r="B14" s="50"/>
      <c r="C14" s="50"/>
      <c r="D14" s="50"/>
      <c r="E14" s="51">
        <v>100.57</v>
      </c>
      <c r="F14" s="51">
        <v>111.9</v>
      </c>
      <c r="G14" s="50"/>
      <c r="H14" s="50"/>
      <c r="I14" s="5">
        <f t="shared" si="1"/>
        <v>6.1255330606507243</v>
      </c>
      <c r="J14" s="8"/>
      <c r="K14" s="4"/>
      <c r="L14" s="7"/>
      <c r="M14" s="7"/>
      <c r="N14" s="7"/>
      <c r="O14" s="7"/>
      <c r="P14" s="7"/>
      <c r="Q14" s="7"/>
      <c r="R14" s="7"/>
      <c r="S14" s="94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40">
        <v>44896</v>
      </c>
      <c r="BE14">
        <v>0.56999999999999995</v>
      </c>
      <c r="BH14">
        <f t="shared" si="0"/>
        <v>100.57</v>
      </c>
      <c r="BO14"/>
      <c r="BS14"/>
    </row>
    <row r="15" spans="1:71" x14ac:dyDescent="0.3">
      <c r="A15" s="46">
        <v>44927</v>
      </c>
      <c r="B15" s="50"/>
      <c r="C15" s="50"/>
      <c r="D15" s="50"/>
      <c r="E15" s="51">
        <v>101.13</v>
      </c>
      <c r="F15" s="51">
        <v>111.8</v>
      </c>
      <c r="G15" s="50"/>
      <c r="H15" s="50"/>
      <c r="I15" s="5">
        <f t="shared" si="1"/>
        <v>8.1279436479058518</v>
      </c>
      <c r="J15" s="8"/>
      <c r="K15" s="4"/>
      <c r="L15" s="7"/>
      <c r="M15" s="7"/>
      <c r="N15" s="7"/>
      <c r="O15" s="7"/>
      <c r="P15" s="7"/>
      <c r="Q15" s="7"/>
      <c r="R15" s="7"/>
      <c r="S15" s="94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40">
        <v>44927</v>
      </c>
      <c r="BE15">
        <v>1.1299999999999999</v>
      </c>
      <c r="BH15">
        <f t="shared" si="0"/>
        <v>101.13</v>
      </c>
      <c r="BO15"/>
      <c r="BS15"/>
    </row>
    <row r="16" spans="1:71" x14ac:dyDescent="0.3">
      <c r="A16" s="49">
        <v>44958</v>
      </c>
      <c r="B16" s="52"/>
      <c r="C16" s="52"/>
      <c r="D16" s="52"/>
      <c r="E16" s="53">
        <v>100.75</v>
      </c>
      <c r="F16" s="53">
        <v>111.59</v>
      </c>
      <c r="G16" s="52"/>
      <c r="H16" s="52"/>
      <c r="I16" s="5">
        <f t="shared" si="1"/>
        <v>10.252389189890948</v>
      </c>
      <c r="J16" s="8"/>
      <c r="K16" s="5">
        <v>0.09</v>
      </c>
      <c r="L16" s="7">
        <v>100</v>
      </c>
      <c r="M16" s="8">
        <f>K16+L16</f>
        <v>100.09</v>
      </c>
      <c r="N16" s="7"/>
      <c r="O16" s="7"/>
      <c r="P16" s="7"/>
      <c r="Q16" s="7"/>
      <c r="R16" s="7"/>
      <c r="S16" s="94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40">
        <v>44958</v>
      </c>
      <c r="BE16">
        <v>0.75</v>
      </c>
      <c r="BH16">
        <f t="shared" si="0"/>
        <v>100.75</v>
      </c>
      <c r="BO16"/>
      <c r="BS16"/>
    </row>
    <row r="17" spans="1:71" x14ac:dyDescent="0.3">
      <c r="A17" s="46">
        <v>44986</v>
      </c>
      <c r="B17" s="52"/>
      <c r="C17" s="52"/>
      <c r="D17" s="52"/>
      <c r="E17" s="54">
        <v>100.39</v>
      </c>
      <c r="F17" s="53">
        <v>106.14</v>
      </c>
      <c r="G17" s="52"/>
      <c r="H17" s="52"/>
      <c r="I17" s="5">
        <f t="shared" si="1"/>
        <v>9.4675745363242214</v>
      </c>
      <c r="J17" s="8"/>
      <c r="K17" s="5">
        <v>0.62</v>
      </c>
      <c r="L17" s="7">
        <v>100</v>
      </c>
      <c r="M17" s="8">
        <f>K17+L17</f>
        <v>100.62</v>
      </c>
      <c r="N17" s="7"/>
      <c r="O17" s="7"/>
      <c r="P17" s="7"/>
      <c r="Q17" s="7"/>
      <c r="R17" s="7"/>
      <c r="S17" s="94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40">
        <v>44986</v>
      </c>
      <c r="BE17">
        <v>0.39</v>
      </c>
      <c r="BH17">
        <f t="shared" si="0"/>
        <v>100.39</v>
      </c>
      <c r="BO17"/>
      <c r="BS17"/>
    </row>
    <row r="18" spans="1:71" x14ac:dyDescent="0.3">
      <c r="A18" s="49">
        <v>45017</v>
      </c>
      <c r="B18" s="52"/>
      <c r="C18" s="52"/>
      <c r="D18" s="52"/>
      <c r="E18" s="55">
        <v>100.72</v>
      </c>
      <c r="F18" s="53">
        <v>103.51</v>
      </c>
      <c r="G18" s="52"/>
      <c r="H18" s="52"/>
      <c r="I18" s="5">
        <f t="shared" si="1"/>
        <v>7.6990210897167941</v>
      </c>
      <c r="J18" s="8"/>
      <c r="K18" s="5"/>
      <c r="L18" s="7"/>
      <c r="M18" s="7"/>
      <c r="N18" s="7"/>
      <c r="O18" s="7"/>
      <c r="P18" s="7"/>
      <c r="Q18" s="7"/>
      <c r="R18" s="7"/>
      <c r="S18" s="94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40">
        <v>45017</v>
      </c>
      <c r="BE18">
        <v>0.72</v>
      </c>
      <c r="BH18">
        <f t="shared" si="0"/>
        <v>100.72</v>
      </c>
      <c r="BO18"/>
      <c r="BS18"/>
    </row>
    <row r="19" spans="1:71" x14ac:dyDescent="0.3">
      <c r="A19" s="46">
        <v>45047</v>
      </c>
      <c r="B19" s="52"/>
      <c r="C19" s="52"/>
      <c r="D19" s="52"/>
      <c r="E19" s="55">
        <v>99.75</v>
      </c>
      <c r="F19" s="53">
        <v>102.55</v>
      </c>
      <c r="G19" s="52"/>
      <c r="H19" s="52"/>
      <c r="I19" s="5">
        <f t="shared" si="1"/>
        <v>3.4947589593967621</v>
      </c>
      <c r="J19" s="8"/>
      <c r="K19" s="5"/>
      <c r="L19" s="4"/>
      <c r="M19" s="4"/>
      <c r="N19" s="4"/>
      <c r="O19" s="4"/>
      <c r="P19" s="4"/>
      <c r="Q19" s="4"/>
      <c r="R19" s="4"/>
      <c r="S19" s="9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5"/>
      <c r="BD19" s="40">
        <v>45047</v>
      </c>
      <c r="BE19">
        <v>-0.25</v>
      </c>
      <c r="BH19">
        <f t="shared" si="0"/>
        <v>99.75</v>
      </c>
      <c r="BO19"/>
      <c r="BS19"/>
    </row>
    <row r="20" spans="1:71" x14ac:dyDescent="0.3">
      <c r="A20" s="49">
        <v>45078</v>
      </c>
      <c r="B20" s="52"/>
      <c r="C20" s="52"/>
      <c r="D20" s="52"/>
      <c r="E20" s="55">
        <v>100.43</v>
      </c>
      <c r="F20" s="53">
        <v>103.69</v>
      </c>
      <c r="G20" s="52"/>
      <c r="H20" s="52"/>
      <c r="I20" s="5">
        <f t="shared" si="1"/>
        <v>3.6599980288131349</v>
      </c>
      <c r="J20" s="8"/>
      <c r="K20" s="5"/>
      <c r="L20" s="7"/>
      <c r="M20" s="7"/>
      <c r="N20" s="7"/>
      <c r="O20" s="7"/>
      <c r="P20" s="7"/>
      <c r="Q20" s="7"/>
      <c r="R20" s="7"/>
      <c r="S20" s="94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5"/>
      <c r="BD20" s="40">
        <v>45078</v>
      </c>
      <c r="BE20">
        <v>0.43</v>
      </c>
      <c r="BH20">
        <f t="shared" si="0"/>
        <v>100.43</v>
      </c>
      <c r="BO20"/>
      <c r="BS20"/>
    </row>
    <row r="21" spans="1:71" x14ac:dyDescent="0.3">
      <c r="A21" s="46">
        <v>45108</v>
      </c>
      <c r="B21" s="52"/>
      <c r="C21" s="52"/>
      <c r="D21" s="52"/>
      <c r="E21" s="55">
        <v>100.5</v>
      </c>
      <c r="F21" s="53">
        <v>105.03</v>
      </c>
      <c r="G21" s="52"/>
      <c r="H21" s="52"/>
      <c r="I21" s="5">
        <f t="shared" si="1"/>
        <v>2.7541668485761903</v>
      </c>
      <c r="J21" s="8"/>
      <c r="K21" s="5"/>
      <c r="L21" s="7"/>
      <c r="M21" s="7"/>
      <c r="N21" s="7"/>
      <c r="O21" s="7"/>
      <c r="P21" s="7"/>
      <c r="Q21" s="7"/>
      <c r="R21" s="7"/>
      <c r="S21" s="94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5"/>
      <c r="BD21" s="40">
        <v>45108</v>
      </c>
      <c r="BE21">
        <v>0.5</v>
      </c>
      <c r="BH21">
        <f t="shared" si="0"/>
        <v>100.5</v>
      </c>
      <c r="BO21"/>
      <c r="BS21"/>
    </row>
    <row r="22" spans="1:71" x14ac:dyDescent="0.3">
      <c r="A22" s="49">
        <v>45139</v>
      </c>
      <c r="B22" s="52"/>
      <c r="C22" s="52"/>
      <c r="D22" s="52"/>
      <c r="E22" s="55">
        <v>99.93</v>
      </c>
      <c r="F22" s="53">
        <v>105.56</v>
      </c>
      <c r="G22" s="53"/>
      <c r="H22" s="53"/>
      <c r="I22" s="5">
        <f t="shared" si="1"/>
        <v>3.4947589593967621</v>
      </c>
      <c r="J22" s="22"/>
      <c r="K22" s="16"/>
      <c r="L22" s="7"/>
      <c r="M22" s="8">
        <f t="shared" ref="M22:M50" si="2">F22-L22</f>
        <v>105.56</v>
      </c>
      <c r="N22" s="58">
        <f t="shared" ref="N22:N23" si="3">E22</f>
        <v>99.93</v>
      </c>
      <c r="O22" s="8"/>
      <c r="P22" s="8"/>
      <c r="Q22" s="8"/>
      <c r="R22" s="8"/>
      <c r="S22" s="95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5"/>
      <c r="BD22" s="40">
        <v>45139</v>
      </c>
      <c r="BE22">
        <v>-7.0000000000000007E-2</v>
      </c>
      <c r="BH22">
        <f t="shared" si="0"/>
        <v>99.93</v>
      </c>
      <c r="BO22"/>
      <c r="BS22"/>
    </row>
    <row r="23" spans="1:71" x14ac:dyDescent="0.3">
      <c r="A23" s="46">
        <v>45170</v>
      </c>
      <c r="B23" s="56"/>
      <c r="C23" s="56"/>
      <c r="D23" s="56"/>
      <c r="E23" s="55">
        <v>101.75</v>
      </c>
      <c r="F23" s="53">
        <v>107.05</v>
      </c>
      <c r="G23" s="53"/>
      <c r="H23" s="53"/>
      <c r="I23" s="5">
        <f t="shared" si="1"/>
        <v>9.0770906435823377</v>
      </c>
      <c r="J23" s="22"/>
      <c r="K23" s="16"/>
      <c r="L23" s="29"/>
      <c r="M23" s="8">
        <f t="shared" si="2"/>
        <v>107.05</v>
      </c>
      <c r="N23" s="58">
        <f t="shared" si="3"/>
        <v>101.75</v>
      </c>
      <c r="O23" s="8"/>
      <c r="P23" s="8"/>
      <c r="Q23" s="8"/>
      <c r="R23" s="8"/>
      <c r="S23" s="95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5"/>
      <c r="BD23" s="40">
        <v>45170</v>
      </c>
      <c r="BE23">
        <v>1.75</v>
      </c>
      <c r="BH23">
        <f t="shared" si="0"/>
        <v>101.75</v>
      </c>
      <c r="BO23"/>
      <c r="BS23"/>
    </row>
    <row r="24" spans="1:71" x14ac:dyDescent="0.3">
      <c r="A24" s="49">
        <v>45200</v>
      </c>
      <c r="B24" s="53">
        <f>E24-0.5</f>
        <v>99.96</v>
      </c>
      <c r="C24" s="53"/>
      <c r="D24" s="53"/>
      <c r="E24" s="55">
        <v>100.46</v>
      </c>
      <c r="F24" s="53">
        <v>106.84</v>
      </c>
      <c r="G24" s="53"/>
      <c r="H24" s="53"/>
      <c r="I24" s="5">
        <f t="shared" si="1"/>
        <v>8.9039524405937271</v>
      </c>
      <c r="J24" s="22"/>
      <c r="K24" s="16"/>
      <c r="L24" s="29"/>
      <c r="M24" s="8">
        <f t="shared" si="2"/>
        <v>106.84</v>
      </c>
      <c r="N24" s="98"/>
      <c r="O24" s="8"/>
      <c r="P24" s="8"/>
      <c r="Q24" s="8"/>
      <c r="R24" s="8"/>
      <c r="S24" s="95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5"/>
      <c r="BD24" s="40">
        <v>45200</v>
      </c>
      <c r="BE24">
        <v>0.46</v>
      </c>
      <c r="BH24">
        <f t="shared" si="0"/>
        <v>100.46</v>
      </c>
      <c r="BO24"/>
      <c r="BS24"/>
    </row>
    <row r="25" spans="1:71" x14ac:dyDescent="0.3">
      <c r="A25" s="46">
        <v>45231</v>
      </c>
      <c r="B25" s="56"/>
      <c r="C25" s="56"/>
      <c r="D25" s="56"/>
      <c r="E25" s="55">
        <v>100.74</v>
      </c>
      <c r="F25" s="53">
        <v>107.34</v>
      </c>
      <c r="G25" s="56">
        <v>107.34</v>
      </c>
      <c r="H25" s="56"/>
      <c r="I25" s="5">
        <f t="shared" si="1"/>
        <v>12.459571746567661</v>
      </c>
      <c r="J25" s="22"/>
      <c r="K25" s="16"/>
      <c r="L25" s="22"/>
      <c r="M25" s="8">
        <f t="shared" si="2"/>
        <v>107.34</v>
      </c>
      <c r="N25" s="98"/>
      <c r="O25" s="8"/>
      <c r="P25" s="22"/>
      <c r="Q25" s="8"/>
      <c r="R25" s="8"/>
      <c r="S25" s="95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5"/>
      <c r="BD25" s="40">
        <v>45231</v>
      </c>
      <c r="BE25">
        <v>0.74</v>
      </c>
      <c r="BH25">
        <f t="shared" si="0"/>
        <v>100.74</v>
      </c>
      <c r="BO25"/>
      <c r="BS25"/>
    </row>
    <row r="26" spans="1:71" x14ac:dyDescent="0.3">
      <c r="A26" s="49">
        <v>45261</v>
      </c>
      <c r="B26" s="53"/>
      <c r="C26" s="53"/>
      <c r="D26" s="53"/>
      <c r="E26" s="55">
        <v>100.29</v>
      </c>
      <c r="F26" s="53">
        <v>107.05</v>
      </c>
      <c r="G26" s="53">
        <v>100.29</v>
      </c>
      <c r="H26" s="53"/>
      <c r="I26" s="5">
        <f t="shared" si="1"/>
        <v>6.1255330606507243</v>
      </c>
      <c r="J26" s="22"/>
      <c r="K26" s="16"/>
      <c r="L26" s="22"/>
      <c r="M26" s="8">
        <f t="shared" si="2"/>
        <v>107.05</v>
      </c>
      <c r="N26" s="98"/>
      <c r="O26" s="8"/>
      <c r="P26" s="22"/>
      <c r="Q26" s="8"/>
      <c r="R26" s="8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5"/>
      <c r="BD26" s="40">
        <v>45261</v>
      </c>
      <c r="BE26">
        <v>0.28999999999999998</v>
      </c>
      <c r="BH26">
        <f t="shared" si="0"/>
        <v>100.29</v>
      </c>
      <c r="BO26"/>
      <c r="BS26"/>
    </row>
    <row r="27" spans="1:71" ht="15" customHeight="1" x14ac:dyDescent="0.3">
      <c r="A27" s="46">
        <v>45292</v>
      </c>
      <c r="B27" s="53"/>
      <c r="C27" s="53"/>
      <c r="D27" s="53"/>
      <c r="E27" s="55">
        <v>100.87</v>
      </c>
      <c r="F27" s="53">
        <v>106.77</v>
      </c>
      <c r="G27" s="53">
        <v>100.87</v>
      </c>
      <c r="H27" s="53"/>
      <c r="I27" s="5">
        <f t="shared" si="1"/>
        <v>7.8704026017795172</v>
      </c>
      <c r="J27" s="22"/>
      <c r="K27" s="16"/>
      <c r="L27" s="22"/>
      <c r="M27" s="8"/>
      <c r="N27" s="98"/>
      <c r="O27" s="8"/>
      <c r="P27" s="22"/>
      <c r="Q27" s="8"/>
      <c r="R27" s="8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5"/>
      <c r="BD27" s="40">
        <v>45292</v>
      </c>
      <c r="BE27">
        <v>0.87</v>
      </c>
      <c r="BH27">
        <f t="shared" si="0"/>
        <v>100.87</v>
      </c>
      <c r="BO27"/>
      <c r="BS27"/>
    </row>
    <row r="28" spans="1:71" x14ac:dyDescent="0.3">
      <c r="A28" s="49">
        <v>45323</v>
      </c>
      <c r="B28" s="53"/>
      <c r="C28" s="53"/>
      <c r="D28" s="53"/>
      <c r="E28" s="55">
        <v>100.53</v>
      </c>
      <c r="F28" s="53">
        <v>106.54</v>
      </c>
      <c r="G28" s="53">
        <v>100.53</v>
      </c>
      <c r="H28" s="53"/>
      <c r="I28" s="5">
        <f t="shared" si="1"/>
        <v>6.9734305913095938</v>
      </c>
      <c r="J28" s="22"/>
      <c r="K28" s="16"/>
      <c r="L28" s="22"/>
      <c r="M28" s="8"/>
      <c r="N28" s="98"/>
      <c r="O28" s="8"/>
      <c r="P28" s="8"/>
      <c r="Q28" s="8"/>
      <c r="R28" s="8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5"/>
      <c r="BD28" s="40">
        <v>45323</v>
      </c>
      <c r="BE28">
        <v>0.53</v>
      </c>
      <c r="BH28">
        <f t="shared" si="0"/>
        <v>100.53</v>
      </c>
      <c r="BO28"/>
      <c r="BS28"/>
    </row>
    <row r="29" spans="1:71" x14ac:dyDescent="0.3">
      <c r="A29" s="46">
        <v>45352</v>
      </c>
      <c r="B29" s="53"/>
      <c r="C29" s="53"/>
      <c r="D29" s="53"/>
      <c r="E29" s="55">
        <v>100.53</v>
      </c>
      <c r="F29" s="53">
        <v>106.68</v>
      </c>
      <c r="G29" s="53">
        <v>100.53</v>
      </c>
      <c r="H29" s="53"/>
      <c r="I29" s="5">
        <f t="shared" si="1"/>
        <v>7.9991027537831201</v>
      </c>
      <c r="J29" s="22"/>
      <c r="K29" s="16"/>
      <c r="L29" s="22"/>
      <c r="M29" s="8"/>
      <c r="N29" s="98"/>
      <c r="O29" s="8"/>
      <c r="P29" s="8"/>
      <c r="Q29" s="8"/>
      <c r="R29" s="8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5"/>
      <c r="BD29" s="40">
        <v>45352</v>
      </c>
      <c r="BE29">
        <v>0.53</v>
      </c>
      <c r="BH29">
        <f t="shared" si="0"/>
        <v>100.53</v>
      </c>
      <c r="BO29"/>
      <c r="BS29"/>
    </row>
    <row r="30" spans="1:71" x14ac:dyDescent="0.3">
      <c r="A30" s="49">
        <v>45383</v>
      </c>
      <c r="B30" s="53"/>
      <c r="C30" s="53"/>
      <c r="D30" s="53"/>
      <c r="E30" s="54">
        <v>100.38</v>
      </c>
      <c r="F30" s="53">
        <v>106.32</v>
      </c>
      <c r="G30" s="53">
        <v>100.38</v>
      </c>
      <c r="H30" s="53"/>
      <c r="I30" s="5">
        <f t="shared" si="1"/>
        <v>5.9145235035987298</v>
      </c>
      <c r="J30" s="22"/>
      <c r="K30" s="16"/>
      <c r="L30" s="22"/>
      <c r="M30" s="8"/>
      <c r="N30" s="98"/>
      <c r="O30" s="8"/>
      <c r="P30" s="8"/>
      <c r="Q30" s="8"/>
      <c r="R30" s="8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5"/>
      <c r="BD30" s="40">
        <v>45383</v>
      </c>
      <c r="BE30">
        <v>0.38</v>
      </c>
      <c r="BH30">
        <f t="shared" si="0"/>
        <v>100.38</v>
      </c>
      <c r="BO30"/>
      <c r="BS30"/>
    </row>
    <row r="31" spans="1:71" x14ac:dyDescent="0.3">
      <c r="A31" s="46">
        <v>45413</v>
      </c>
      <c r="B31" s="53"/>
      <c r="C31" s="53"/>
      <c r="D31" s="53"/>
      <c r="E31" s="54">
        <v>100.94</v>
      </c>
      <c r="F31" s="53">
        <v>107.59</v>
      </c>
      <c r="G31" s="53">
        <v>100.94</v>
      </c>
      <c r="H31" s="53"/>
      <c r="I31" s="5">
        <f t="shared" si="1"/>
        <v>7.6562147291127332</v>
      </c>
      <c r="J31" s="22"/>
      <c r="K31" s="16"/>
      <c r="L31" s="22"/>
      <c r="M31" s="8"/>
      <c r="N31" s="98"/>
      <c r="O31" s="8"/>
      <c r="P31" s="8"/>
      <c r="Q31" s="8"/>
      <c r="R31" s="8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5"/>
      <c r="BD31" s="40">
        <v>45413</v>
      </c>
      <c r="BE31">
        <v>0.94</v>
      </c>
      <c r="BH31">
        <f t="shared" si="0"/>
        <v>100.94</v>
      </c>
      <c r="BO31"/>
      <c r="BS31"/>
    </row>
    <row r="32" spans="1:71" x14ac:dyDescent="0.3">
      <c r="A32" s="49">
        <v>45444</v>
      </c>
      <c r="B32" s="53"/>
      <c r="C32" s="53"/>
      <c r="D32" s="53"/>
      <c r="E32" s="54">
        <v>100.18</v>
      </c>
      <c r="F32" s="53">
        <v>107.33</v>
      </c>
      <c r="G32" s="53">
        <v>100.18</v>
      </c>
      <c r="H32" s="53"/>
      <c r="I32" s="5">
        <f t="shared" si="1"/>
        <v>6.1677811864499574</v>
      </c>
      <c r="J32" s="8"/>
      <c r="K32" s="16"/>
      <c r="L32" s="8"/>
      <c r="M32" s="8"/>
      <c r="N32" s="98"/>
      <c r="O32" s="8"/>
      <c r="P32" s="39">
        <v>99.994218654112245</v>
      </c>
      <c r="Q32" s="39">
        <v>106.07035758520142</v>
      </c>
      <c r="R32" s="8">
        <v>106.01112328736288</v>
      </c>
      <c r="S32" s="95"/>
      <c r="T32" s="6">
        <v>100.18</v>
      </c>
      <c r="U32" s="6">
        <v>100.18</v>
      </c>
      <c r="V32" s="6">
        <v>100.18</v>
      </c>
      <c r="W32" s="6">
        <v>100.18</v>
      </c>
      <c r="X32" s="6">
        <v>100.18</v>
      </c>
      <c r="Y32" s="6">
        <v>100.18</v>
      </c>
      <c r="Z32" s="6">
        <v>100.18</v>
      </c>
      <c r="AA32" s="6">
        <v>100.18</v>
      </c>
      <c r="AB32" s="6">
        <v>100.18</v>
      </c>
      <c r="AC32" s="6">
        <v>100.18</v>
      </c>
      <c r="AD32" s="6">
        <v>100.18</v>
      </c>
      <c r="AE32" s="6">
        <v>100.18</v>
      </c>
      <c r="AF32" s="6">
        <v>100.18</v>
      </c>
      <c r="AG32" s="6">
        <v>100.18</v>
      </c>
      <c r="AH32" s="6">
        <v>100.18</v>
      </c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5"/>
      <c r="BD32" s="40">
        <v>45444</v>
      </c>
      <c r="BE32">
        <v>0.18</v>
      </c>
      <c r="BH32">
        <f t="shared" si="0"/>
        <v>100.18</v>
      </c>
      <c r="BO32"/>
      <c r="BS32"/>
    </row>
    <row r="33" spans="1:71" x14ac:dyDescent="0.3">
      <c r="A33" s="46">
        <v>45474</v>
      </c>
      <c r="B33" s="53"/>
      <c r="C33" s="53"/>
      <c r="D33" s="53"/>
      <c r="E33" s="54">
        <v>101.07</v>
      </c>
      <c r="F33" s="53">
        <v>107.94</v>
      </c>
      <c r="G33" s="53">
        <v>101.07</v>
      </c>
      <c r="H33" s="53"/>
      <c r="I33" s="5">
        <f t="shared" si="1"/>
        <v>9.1204146012368454</v>
      </c>
      <c r="J33" s="8"/>
      <c r="K33" s="16">
        <f t="shared" ref="K33:K50" si="4">E33-J33</f>
        <v>101.07</v>
      </c>
      <c r="L33" s="8"/>
      <c r="M33" s="8"/>
      <c r="N33" s="98"/>
      <c r="O33" s="8"/>
      <c r="P33" s="39">
        <v>100.72</v>
      </c>
      <c r="Q33" s="39">
        <v>106.7712701885783</v>
      </c>
      <c r="R33" s="8">
        <v>104.91751917321984</v>
      </c>
      <c r="S33" s="95"/>
      <c r="T33" s="6">
        <v>101.07</v>
      </c>
      <c r="U33" s="6">
        <v>101.07</v>
      </c>
      <c r="V33" s="6">
        <v>101.07</v>
      </c>
      <c r="W33" s="6">
        <v>101.07</v>
      </c>
      <c r="X33" s="6">
        <v>101.07</v>
      </c>
      <c r="Y33" s="6">
        <v>101.07</v>
      </c>
      <c r="Z33" s="6">
        <v>101.07</v>
      </c>
      <c r="AA33" s="6">
        <v>101.07</v>
      </c>
      <c r="AB33" s="6">
        <v>101.07</v>
      </c>
      <c r="AC33" s="6">
        <v>101.07</v>
      </c>
      <c r="AD33" s="6">
        <v>101.07</v>
      </c>
      <c r="AE33" s="6">
        <v>101.07</v>
      </c>
      <c r="AF33" s="6">
        <v>101.07</v>
      </c>
      <c r="AG33" s="6">
        <v>101.07</v>
      </c>
      <c r="AH33" s="6">
        <v>101.07</v>
      </c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5"/>
      <c r="BD33" s="40">
        <v>45474</v>
      </c>
      <c r="BE33">
        <v>1.07</v>
      </c>
      <c r="BH33">
        <f t="shared" si="0"/>
        <v>101.07</v>
      </c>
      <c r="BO33"/>
      <c r="BS33"/>
    </row>
    <row r="34" spans="1:71" x14ac:dyDescent="0.3">
      <c r="A34" s="49">
        <v>45505</v>
      </c>
      <c r="B34" s="53"/>
      <c r="C34" s="53"/>
      <c r="D34" s="53"/>
      <c r="E34" s="55">
        <v>100.09</v>
      </c>
      <c r="F34" s="53">
        <v>108.1</v>
      </c>
      <c r="G34" s="53">
        <v>100.09</v>
      </c>
      <c r="H34" s="53"/>
      <c r="I34" s="5">
        <f t="shared" si="1"/>
        <v>5.4936577073865607</v>
      </c>
      <c r="J34" s="8"/>
      <c r="K34" s="16">
        <f t="shared" si="4"/>
        <v>100.09</v>
      </c>
      <c r="L34" s="8"/>
      <c r="M34" s="8"/>
      <c r="N34" s="98"/>
      <c r="O34" s="8"/>
      <c r="P34" s="39">
        <v>100.01719120477021</v>
      </c>
      <c r="Q34" s="39">
        <v>106.86443055766252</v>
      </c>
      <c r="R34" s="8">
        <v>105.2640009883476</v>
      </c>
      <c r="S34" s="95"/>
      <c r="T34" s="6">
        <v>100.09</v>
      </c>
      <c r="U34" s="6">
        <v>100.09</v>
      </c>
      <c r="V34" s="6">
        <v>100.09</v>
      </c>
      <c r="W34" s="6">
        <v>100.09</v>
      </c>
      <c r="X34" s="6">
        <v>100.09</v>
      </c>
      <c r="Y34" s="6">
        <v>100.09</v>
      </c>
      <c r="Z34" s="6">
        <v>100.09</v>
      </c>
      <c r="AA34" s="6">
        <v>100.09</v>
      </c>
      <c r="AB34" s="6">
        <v>100.09</v>
      </c>
      <c r="AC34" s="6">
        <v>100.09</v>
      </c>
      <c r="AD34" s="6">
        <v>100.09</v>
      </c>
      <c r="AE34" s="6">
        <v>100.09</v>
      </c>
      <c r="AF34" s="6">
        <v>100.09</v>
      </c>
      <c r="AG34" s="6">
        <v>100.09</v>
      </c>
      <c r="AH34" s="6">
        <v>100.09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5"/>
      <c r="BD34" s="40">
        <v>45505</v>
      </c>
      <c r="BE34">
        <v>0.09</v>
      </c>
      <c r="BH34">
        <f t="shared" si="0"/>
        <v>100.09</v>
      </c>
      <c r="BO34"/>
      <c r="BS34"/>
    </row>
    <row r="35" spans="1:71" ht="14.25" customHeight="1" x14ac:dyDescent="0.3">
      <c r="A35" s="46">
        <v>45536</v>
      </c>
      <c r="B35" s="53"/>
      <c r="C35" s="53"/>
      <c r="D35" s="53"/>
      <c r="E35" s="54">
        <v>100.62</v>
      </c>
      <c r="F35" s="53">
        <v>106.91</v>
      </c>
      <c r="G35" s="53">
        <v>100.62</v>
      </c>
      <c r="H35" s="53"/>
      <c r="I35" s="5">
        <f t="shared" si="1"/>
        <v>7.3570066212323866</v>
      </c>
      <c r="J35" s="8"/>
      <c r="K35" s="16">
        <f t="shared" si="4"/>
        <v>100.62</v>
      </c>
      <c r="L35" s="8"/>
      <c r="M35" s="8"/>
      <c r="N35" s="58">
        <v>100.62</v>
      </c>
      <c r="O35" s="98"/>
      <c r="P35" s="39">
        <v>100.59467205735227</v>
      </c>
      <c r="Q35" s="39">
        <v>106.90435001559487</v>
      </c>
      <c r="R35" s="8">
        <v>104.72241396605473</v>
      </c>
      <c r="S35" s="95"/>
      <c r="T35" s="6">
        <v>100.62</v>
      </c>
      <c r="U35" s="6">
        <v>100.62</v>
      </c>
      <c r="V35" s="6">
        <v>100.62</v>
      </c>
      <c r="W35" s="6">
        <v>100.62</v>
      </c>
      <c r="X35" s="6">
        <v>100.62</v>
      </c>
      <c r="Y35" s="6">
        <v>100.62</v>
      </c>
      <c r="Z35" s="6">
        <v>100.62</v>
      </c>
      <c r="AA35" s="6">
        <v>100.62</v>
      </c>
      <c r="AB35" s="6">
        <v>100.62</v>
      </c>
      <c r="AC35" s="6">
        <v>100.62</v>
      </c>
      <c r="AD35" s="6">
        <v>100.62</v>
      </c>
      <c r="AE35" s="6">
        <v>100.62</v>
      </c>
      <c r="AF35" s="6">
        <v>100.62</v>
      </c>
      <c r="AG35" s="6">
        <v>100.62</v>
      </c>
      <c r="AH35" s="6">
        <v>100.62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5"/>
      <c r="BD35" s="40">
        <v>45536</v>
      </c>
      <c r="BE35">
        <v>0.62</v>
      </c>
      <c r="BH35">
        <f t="shared" si="0"/>
        <v>100.62</v>
      </c>
      <c r="BO35"/>
      <c r="BS35"/>
    </row>
    <row r="36" spans="1:71" x14ac:dyDescent="0.3">
      <c r="A36" s="49">
        <v>45566</v>
      </c>
      <c r="B36" s="53">
        <f>E36-0.5</f>
        <v>100.52</v>
      </c>
      <c r="C36" s="53"/>
      <c r="D36" s="53"/>
      <c r="E36" s="55">
        <v>101.02</v>
      </c>
      <c r="F36" s="53">
        <v>107.49</v>
      </c>
      <c r="G36" s="53">
        <v>101.02</v>
      </c>
      <c r="H36" s="53"/>
      <c r="I36" s="5">
        <f t="shared" si="1"/>
        <v>7.1437534623089078</v>
      </c>
      <c r="J36" s="39">
        <v>101.02</v>
      </c>
      <c r="K36" s="16">
        <f t="shared" si="4"/>
        <v>0</v>
      </c>
      <c r="L36" s="39">
        <v>107.49</v>
      </c>
      <c r="M36" s="8">
        <f t="shared" si="2"/>
        <v>0</v>
      </c>
      <c r="N36" s="58">
        <v>101.02</v>
      </c>
      <c r="O36" s="98"/>
      <c r="P36" s="39">
        <v>100.48289097222857</v>
      </c>
      <c r="Q36" s="39">
        <v>106.92870940746548</v>
      </c>
      <c r="R36" s="8">
        <v>104.56424485078018</v>
      </c>
      <c r="S36" s="95"/>
      <c r="T36" s="6">
        <v>101.02</v>
      </c>
      <c r="U36" s="6">
        <v>101.02</v>
      </c>
      <c r="V36" s="6">
        <v>101.02</v>
      </c>
      <c r="W36" s="6">
        <v>101.02</v>
      </c>
      <c r="X36" s="6">
        <v>101.02</v>
      </c>
      <c r="Y36" s="6">
        <v>101.02</v>
      </c>
      <c r="Z36" s="6">
        <v>101.02</v>
      </c>
      <c r="AA36" s="6">
        <v>101.02</v>
      </c>
      <c r="AB36" s="6">
        <v>101.02</v>
      </c>
      <c r="AC36" s="6">
        <v>101.02</v>
      </c>
      <c r="AD36" s="6">
        <v>101.02</v>
      </c>
      <c r="AE36" s="6">
        <v>101.02</v>
      </c>
      <c r="AF36" s="6">
        <v>101.02</v>
      </c>
      <c r="AG36" s="6">
        <v>101.02</v>
      </c>
      <c r="AH36" s="6">
        <v>101.02</v>
      </c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5"/>
      <c r="BD36" s="5"/>
      <c r="BO36"/>
      <c r="BS36"/>
    </row>
    <row r="37" spans="1:71" x14ac:dyDescent="0.3">
      <c r="A37" s="64">
        <v>45597</v>
      </c>
      <c r="B37" s="65">
        <f>E37-0.5</f>
        <v>101</v>
      </c>
      <c r="C37" s="65"/>
      <c r="D37" s="65"/>
      <c r="E37" s="66">
        <v>101.5</v>
      </c>
      <c r="F37" s="65">
        <v>108.31</v>
      </c>
      <c r="G37" s="65">
        <v>101.5</v>
      </c>
      <c r="H37" s="65"/>
      <c r="I37" s="5">
        <f t="shared" si="1"/>
        <v>13.308867445393446</v>
      </c>
      <c r="J37" s="39">
        <v>101.5</v>
      </c>
      <c r="K37" s="16">
        <f t="shared" si="4"/>
        <v>0</v>
      </c>
      <c r="L37" s="39">
        <v>108.31</v>
      </c>
      <c r="M37" s="8">
        <f t="shared" si="2"/>
        <v>0</v>
      </c>
      <c r="N37" s="58">
        <v>101.5</v>
      </c>
      <c r="O37" s="98"/>
      <c r="P37" s="39">
        <v>101.36348829223351</v>
      </c>
      <c r="Q37" s="39">
        <v>108.16548857000252</v>
      </c>
      <c r="R37" s="8">
        <v>104.00077013216581</v>
      </c>
      <c r="S37" s="95"/>
      <c r="T37" s="94">
        <v>101.5</v>
      </c>
      <c r="U37" s="94">
        <v>101.5</v>
      </c>
      <c r="V37" s="94">
        <v>101.5</v>
      </c>
      <c r="W37" s="94">
        <v>101.5</v>
      </c>
      <c r="X37" s="94">
        <v>101.5</v>
      </c>
      <c r="Y37" s="94">
        <v>101.5</v>
      </c>
      <c r="Z37" s="94">
        <v>101.5</v>
      </c>
      <c r="AA37" s="94">
        <v>101.5</v>
      </c>
      <c r="AB37" s="94">
        <v>101.5</v>
      </c>
      <c r="AC37" s="94">
        <v>101.5</v>
      </c>
      <c r="AD37" s="94">
        <v>101.5</v>
      </c>
      <c r="AE37" s="94">
        <v>101.5</v>
      </c>
      <c r="AF37" s="94">
        <v>101.5</v>
      </c>
      <c r="AG37" s="94">
        <v>101.5</v>
      </c>
      <c r="AH37" s="94">
        <v>101.5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5"/>
      <c r="BD37" s="8"/>
      <c r="BO37"/>
      <c r="BS37"/>
    </row>
    <row r="38" spans="1:71" x14ac:dyDescent="0.3">
      <c r="A38" s="49">
        <v>45627</v>
      </c>
      <c r="B38" s="57"/>
      <c r="C38" s="57"/>
      <c r="D38" s="57"/>
      <c r="E38" s="55">
        <v>100.91</v>
      </c>
      <c r="F38" s="53">
        <v>108.98</v>
      </c>
      <c r="G38" s="62">
        <v>100.91</v>
      </c>
      <c r="H38" s="57"/>
      <c r="I38" s="53">
        <f t="shared" si="1"/>
        <v>14.616501588558791</v>
      </c>
      <c r="J38" s="67">
        <v>100.91</v>
      </c>
      <c r="K38" s="16">
        <f t="shared" si="4"/>
        <v>0</v>
      </c>
      <c r="L38" s="39">
        <v>108.98</v>
      </c>
      <c r="M38" s="8">
        <f t="shared" si="2"/>
        <v>0</v>
      </c>
      <c r="N38" s="58">
        <v>100.91</v>
      </c>
      <c r="O38" s="98"/>
      <c r="P38" s="39">
        <v>100.55261949808377</v>
      </c>
      <c r="Q38" s="39">
        <v>108.44873083062912</v>
      </c>
      <c r="R38" s="8">
        <v>103.81598665340108</v>
      </c>
      <c r="S38" s="95"/>
      <c r="T38" s="94">
        <v>100.91</v>
      </c>
      <c r="U38" s="94">
        <v>100.91</v>
      </c>
      <c r="V38" s="94">
        <v>100.91</v>
      </c>
      <c r="W38" s="94">
        <v>100.91</v>
      </c>
      <c r="X38" s="94">
        <v>100.91</v>
      </c>
      <c r="Y38" s="94">
        <v>100.91</v>
      </c>
      <c r="Z38" s="94">
        <v>100.91</v>
      </c>
      <c r="AA38" s="94">
        <v>100.91</v>
      </c>
      <c r="AB38" s="94">
        <v>100.91</v>
      </c>
      <c r="AC38" s="94">
        <v>100.91</v>
      </c>
      <c r="AD38" s="94">
        <v>100.91</v>
      </c>
      <c r="AE38" s="94">
        <v>100.91</v>
      </c>
      <c r="AF38" s="94">
        <v>100.91</v>
      </c>
      <c r="AG38" s="94">
        <v>100.91</v>
      </c>
      <c r="AH38" s="94">
        <v>100.91</v>
      </c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5" t="s">
        <v>31</v>
      </c>
      <c r="BD38" s="8"/>
      <c r="BO38"/>
      <c r="BS38"/>
    </row>
    <row r="39" spans="1:71" x14ac:dyDescent="0.3">
      <c r="A39" s="59">
        <v>45658</v>
      </c>
      <c r="B39" s="55"/>
      <c r="C39" s="55"/>
      <c r="D39" s="55"/>
      <c r="E39" s="55">
        <v>100.84</v>
      </c>
      <c r="F39" s="55">
        <v>108.95</v>
      </c>
      <c r="G39" s="62">
        <v>100.65</v>
      </c>
      <c r="H39" s="62">
        <f t="shared" ref="H39:H52" si="5">ROUND(PRODUCT(G28:G39)/100^11,2)</f>
        <v>108.74</v>
      </c>
      <c r="I39" s="55">
        <f t="shared" si="1"/>
        <v>13.803248161387785</v>
      </c>
      <c r="J39" s="67">
        <v>100.84</v>
      </c>
      <c r="K39" s="16"/>
      <c r="L39" s="39">
        <v>108.95</v>
      </c>
      <c r="M39" s="8">
        <f t="shared" si="2"/>
        <v>0</v>
      </c>
      <c r="N39" s="58">
        <v>100.84</v>
      </c>
      <c r="O39" s="98"/>
      <c r="P39" s="39">
        <v>101.43</v>
      </c>
      <c r="Q39" s="39">
        <v>109.59</v>
      </c>
      <c r="R39" s="7"/>
      <c r="S39" s="94"/>
      <c r="T39" s="94">
        <v>100.84</v>
      </c>
      <c r="U39" s="94">
        <v>100.84</v>
      </c>
      <c r="V39" s="94">
        <v>100.84</v>
      </c>
      <c r="W39" s="94">
        <v>100.84</v>
      </c>
      <c r="X39" s="94">
        <v>100.84</v>
      </c>
      <c r="Y39" s="94">
        <v>100.84</v>
      </c>
      <c r="Z39" s="94">
        <v>100.84</v>
      </c>
      <c r="AA39" s="94">
        <v>100.84</v>
      </c>
      <c r="AB39" s="94">
        <v>100.84</v>
      </c>
      <c r="AC39" s="94">
        <v>100.84</v>
      </c>
      <c r="AD39" s="94">
        <v>100.84</v>
      </c>
      <c r="AE39" s="94">
        <v>100.84</v>
      </c>
      <c r="AF39" s="94">
        <v>100.84</v>
      </c>
      <c r="AG39" s="94">
        <v>100.84</v>
      </c>
      <c r="AH39" s="94">
        <v>100.84</v>
      </c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17"/>
      <c r="BO39"/>
      <c r="BS39"/>
    </row>
    <row r="40" spans="1:71" x14ac:dyDescent="0.3">
      <c r="A40" s="60">
        <v>45689</v>
      </c>
      <c r="B40" s="55"/>
      <c r="C40" s="55"/>
      <c r="D40" s="55"/>
      <c r="E40" s="55">
        <v>101.34</v>
      </c>
      <c r="F40" s="55">
        <v>109.83</v>
      </c>
      <c r="G40" s="62">
        <v>100.5</v>
      </c>
      <c r="H40" s="62">
        <f t="shared" si="5"/>
        <v>108.71</v>
      </c>
      <c r="I40" s="55">
        <f t="shared" si="1"/>
        <v>13.084800413622574</v>
      </c>
      <c r="J40" s="67">
        <v>101.34</v>
      </c>
      <c r="K40" s="16">
        <f t="shared" si="4"/>
        <v>0</v>
      </c>
      <c r="L40" s="39">
        <v>109.83</v>
      </c>
      <c r="M40" s="8">
        <f t="shared" si="2"/>
        <v>0</v>
      </c>
      <c r="N40" s="58">
        <v>101.34</v>
      </c>
      <c r="O40" s="98"/>
      <c r="P40" s="39">
        <v>100.84935888802876</v>
      </c>
      <c r="Q40" s="39">
        <v>109.29443791134076</v>
      </c>
      <c r="R40" s="7"/>
      <c r="S40" s="94"/>
      <c r="T40" s="94">
        <v>101.34</v>
      </c>
      <c r="U40" s="94">
        <v>101.34</v>
      </c>
      <c r="V40" s="94">
        <v>101.34</v>
      </c>
      <c r="W40" s="94">
        <v>101.34</v>
      </c>
      <c r="X40" s="94">
        <v>101.34</v>
      </c>
      <c r="Y40" s="94">
        <v>101.34</v>
      </c>
      <c r="Z40" s="94">
        <v>101.34</v>
      </c>
      <c r="AA40" s="94">
        <v>101.34</v>
      </c>
      <c r="AB40" s="94">
        <v>101.34</v>
      </c>
      <c r="AC40" s="94">
        <v>101.34</v>
      </c>
      <c r="AD40" s="94">
        <v>101.34</v>
      </c>
      <c r="AE40" s="94">
        <v>101.34</v>
      </c>
      <c r="AF40" s="94">
        <v>101.34</v>
      </c>
      <c r="AG40" s="94">
        <v>101.34</v>
      </c>
      <c r="AH40" s="94">
        <v>101.34</v>
      </c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17"/>
      <c r="BO40"/>
      <c r="BS40"/>
    </row>
    <row r="41" spans="1:71" ht="15" thickBot="1" x14ac:dyDescent="0.35">
      <c r="A41" s="71">
        <v>45717</v>
      </c>
      <c r="B41" s="66"/>
      <c r="C41" s="66"/>
      <c r="D41" s="66"/>
      <c r="E41" s="90">
        <v>100.81</v>
      </c>
      <c r="F41" s="66">
        <v>110.13</v>
      </c>
      <c r="G41" s="72">
        <v>100.56</v>
      </c>
      <c r="H41" s="72">
        <f t="shared" si="5"/>
        <v>108.74</v>
      </c>
      <c r="I41" s="66">
        <f t="shared" si="1"/>
        <v>12.637884379001619</v>
      </c>
      <c r="J41" s="73">
        <v>100.81</v>
      </c>
      <c r="K41" s="16">
        <f t="shared" si="4"/>
        <v>0</v>
      </c>
      <c r="L41" s="39">
        <v>110.13</v>
      </c>
      <c r="M41" s="8">
        <f t="shared" si="2"/>
        <v>0</v>
      </c>
      <c r="N41" s="58">
        <v>100.81</v>
      </c>
      <c r="O41" s="98"/>
      <c r="P41" s="39">
        <v>100.79272180325879</v>
      </c>
      <c r="Q41" s="39">
        <v>109.58006440904515</v>
      </c>
      <c r="R41" s="7"/>
      <c r="S41" s="94"/>
      <c r="T41" s="94">
        <v>100.81</v>
      </c>
      <c r="U41" s="94">
        <v>100.81</v>
      </c>
      <c r="V41" s="94">
        <v>100.81</v>
      </c>
      <c r="W41" s="94">
        <v>100.81</v>
      </c>
      <c r="X41" s="94">
        <v>100.81</v>
      </c>
      <c r="Y41" s="94">
        <v>100.81</v>
      </c>
      <c r="Z41" s="94">
        <v>100.81</v>
      </c>
      <c r="AA41" s="94">
        <v>100.81</v>
      </c>
      <c r="AB41" s="94">
        <v>100.81</v>
      </c>
      <c r="AC41" s="94">
        <v>100.81</v>
      </c>
      <c r="AD41" s="94">
        <v>100.81</v>
      </c>
      <c r="AE41" s="94">
        <v>100.81</v>
      </c>
      <c r="AF41" s="94">
        <v>100.81</v>
      </c>
      <c r="AG41" s="94">
        <v>100.81</v>
      </c>
      <c r="AH41" s="94">
        <v>100.81</v>
      </c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17"/>
      <c r="BO41"/>
      <c r="BS41"/>
    </row>
    <row r="42" spans="1:71" ht="15" thickBot="1" x14ac:dyDescent="0.35">
      <c r="A42" s="78">
        <v>45748</v>
      </c>
      <c r="B42" s="79"/>
      <c r="C42" s="79"/>
      <c r="D42" s="79"/>
      <c r="E42" s="79">
        <v>100.53</v>
      </c>
      <c r="F42" s="79">
        <v>110.3</v>
      </c>
      <c r="G42" s="80">
        <v>100.45</v>
      </c>
      <c r="H42" s="80">
        <f t="shared" si="5"/>
        <v>108.82</v>
      </c>
      <c r="I42" s="79">
        <f t="shared" si="1"/>
        <v>11.262713373249582</v>
      </c>
      <c r="J42" s="81">
        <v>100.53</v>
      </c>
      <c r="K42" s="82">
        <f t="shared" si="4"/>
        <v>0</v>
      </c>
      <c r="L42" s="83">
        <v>110.3</v>
      </c>
      <c r="M42" s="84">
        <f t="shared" si="2"/>
        <v>0</v>
      </c>
      <c r="N42" s="85">
        <v>100.53</v>
      </c>
      <c r="O42" s="99"/>
      <c r="P42" s="83">
        <v>100.80314084034499</v>
      </c>
      <c r="Q42" s="86">
        <v>109.98829551477249</v>
      </c>
      <c r="R42" s="7"/>
      <c r="S42" s="94"/>
      <c r="T42" s="94">
        <v>100.53</v>
      </c>
      <c r="U42" s="94">
        <v>100.53</v>
      </c>
      <c r="V42" s="94">
        <v>100.53</v>
      </c>
      <c r="W42" s="94">
        <v>100.53</v>
      </c>
      <c r="X42" s="94">
        <v>100.53</v>
      </c>
      <c r="Y42" s="94">
        <v>100.53</v>
      </c>
      <c r="Z42" s="94">
        <v>100.53</v>
      </c>
      <c r="AA42" s="94">
        <v>100.53</v>
      </c>
      <c r="AB42" s="94">
        <v>100.53</v>
      </c>
      <c r="AC42" s="94">
        <v>100.53</v>
      </c>
      <c r="AD42" s="94">
        <v>100.53</v>
      </c>
      <c r="AE42" s="94">
        <v>100.53</v>
      </c>
      <c r="AF42" s="94">
        <v>100.53</v>
      </c>
      <c r="AG42" s="94">
        <v>100.53</v>
      </c>
      <c r="AH42" s="94">
        <v>100.53</v>
      </c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17"/>
      <c r="BO42"/>
      <c r="BS42"/>
    </row>
    <row r="43" spans="1:71" x14ac:dyDescent="0.3">
      <c r="A43" s="74">
        <v>45778</v>
      </c>
      <c r="B43" s="75"/>
      <c r="C43" s="75"/>
      <c r="D43" s="75"/>
      <c r="E43" s="75">
        <v>99.93</v>
      </c>
      <c r="F43" s="75">
        <v>109.2</v>
      </c>
      <c r="G43" s="76">
        <v>100.2</v>
      </c>
      <c r="H43" s="76">
        <f t="shared" si="5"/>
        <v>108.02</v>
      </c>
      <c r="I43" s="75">
        <f t="shared" si="1"/>
        <v>5.1999643920905925</v>
      </c>
      <c r="J43" s="77">
        <v>99.93</v>
      </c>
      <c r="K43" s="16">
        <f t="shared" si="4"/>
        <v>0</v>
      </c>
      <c r="L43" s="39">
        <v>109.2</v>
      </c>
      <c r="M43" s="8">
        <f t="shared" si="2"/>
        <v>0</v>
      </c>
      <c r="N43" s="58">
        <v>99.93</v>
      </c>
      <c r="O43" s="98"/>
      <c r="P43" s="39">
        <v>100.32062363458037</v>
      </c>
      <c r="Q43" s="39">
        <v>109.47050011165113</v>
      </c>
      <c r="R43" s="7"/>
      <c r="S43" s="94"/>
      <c r="T43" s="94">
        <v>99.93</v>
      </c>
      <c r="U43" s="94">
        <v>99.93</v>
      </c>
      <c r="V43" s="94">
        <v>99.93</v>
      </c>
      <c r="W43" s="94">
        <v>99.93</v>
      </c>
      <c r="X43" s="94">
        <v>99.93</v>
      </c>
      <c r="Y43" s="94">
        <v>99.93</v>
      </c>
      <c r="Z43" s="94">
        <v>99.93</v>
      </c>
      <c r="AA43" s="94">
        <v>99.93</v>
      </c>
      <c r="AB43" s="94">
        <v>99.93</v>
      </c>
      <c r="AC43" s="94">
        <v>99.93</v>
      </c>
      <c r="AD43" s="94">
        <v>99.93</v>
      </c>
      <c r="AE43" s="94">
        <v>99.93</v>
      </c>
      <c r="AF43" s="94">
        <v>99.93</v>
      </c>
      <c r="AG43" s="94">
        <v>99.93</v>
      </c>
      <c r="AH43" s="94">
        <v>99.93</v>
      </c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17"/>
      <c r="BO43"/>
      <c r="BS43"/>
    </row>
    <row r="44" spans="1:71" x14ac:dyDescent="0.3">
      <c r="A44" s="60">
        <v>45809</v>
      </c>
      <c r="B44" s="55"/>
      <c r="C44" s="55">
        <f>E44-100</f>
        <v>-4.0000000000006253E-2</v>
      </c>
      <c r="D44" s="55">
        <f>F44-100</f>
        <v>8.9599999999999937</v>
      </c>
      <c r="E44" s="55">
        <v>99.96</v>
      </c>
      <c r="F44" s="55">
        <v>108.96</v>
      </c>
      <c r="G44" s="62">
        <v>100.09</v>
      </c>
      <c r="H44" s="62">
        <f t="shared" si="5"/>
        <v>107.92</v>
      </c>
      <c r="I44" s="55">
        <f t="shared" si="1"/>
        <v>1.6929965585858326</v>
      </c>
      <c r="J44" s="67">
        <v>99.96</v>
      </c>
      <c r="K44" s="16">
        <f t="shared" si="4"/>
        <v>0</v>
      </c>
      <c r="L44" s="39">
        <v>108.96</v>
      </c>
      <c r="M44" s="8">
        <f t="shared" si="2"/>
        <v>0</v>
      </c>
      <c r="N44" s="58">
        <v>99.96</v>
      </c>
      <c r="O44" s="98"/>
      <c r="P44" s="39">
        <v>100.19971560102331</v>
      </c>
      <c r="Q44" s="39">
        <v>109.6101899129054</v>
      </c>
      <c r="R44" s="7"/>
      <c r="S44" s="94"/>
      <c r="T44" s="94">
        <v>100</v>
      </c>
      <c r="U44" s="94">
        <v>100.26</v>
      </c>
      <c r="V44" s="94">
        <v>99.74</v>
      </c>
      <c r="W44" s="94">
        <v>99.32</v>
      </c>
      <c r="X44" s="94">
        <v>99.99</v>
      </c>
      <c r="Y44" s="94">
        <v>99.86</v>
      </c>
      <c r="Z44" s="94">
        <v>100.12</v>
      </c>
      <c r="AA44" s="94">
        <v>100.03</v>
      </c>
      <c r="AB44" s="94">
        <v>100.39</v>
      </c>
      <c r="AC44" s="94">
        <v>100.11</v>
      </c>
      <c r="AD44" s="94">
        <v>100.06</v>
      </c>
      <c r="AE44" s="94">
        <v>99.78</v>
      </c>
      <c r="AF44" s="94">
        <v>100</v>
      </c>
      <c r="AG44" s="94">
        <v>100.11</v>
      </c>
      <c r="AH44" s="94">
        <v>100.02</v>
      </c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17"/>
      <c r="BO44"/>
      <c r="BS44"/>
    </row>
    <row r="45" spans="1:71" x14ac:dyDescent="0.3">
      <c r="A45" s="59">
        <v>45839</v>
      </c>
      <c r="B45" s="55"/>
      <c r="C45" s="55">
        <f t="shared" ref="C45:D57" si="6">E45-100</f>
        <v>0.35999999999999943</v>
      </c>
      <c r="D45" s="55">
        <f t="shared" si="6"/>
        <v>8.1899999999999977</v>
      </c>
      <c r="E45" s="55">
        <v>100.36</v>
      </c>
      <c r="F45" s="55">
        <v>108.19</v>
      </c>
      <c r="G45" s="62">
        <v>101</v>
      </c>
      <c r="H45" s="62">
        <f t="shared" si="5"/>
        <v>107.85</v>
      </c>
      <c r="I45" s="55">
        <f t="shared" si="1"/>
        <v>1.0045960887180883</v>
      </c>
      <c r="J45" s="67">
        <v>100.9</v>
      </c>
      <c r="K45" s="16">
        <f t="shared" si="4"/>
        <v>-0.54000000000000625</v>
      </c>
      <c r="L45" s="39">
        <v>108.77</v>
      </c>
      <c r="M45" s="8">
        <f t="shared" si="2"/>
        <v>-0.57999999999999829</v>
      </c>
      <c r="N45" s="58">
        <v>100.36</v>
      </c>
      <c r="O45" s="98"/>
      <c r="P45" s="39">
        <v>100.25856668217008</v>
      </c>
      <c r="Q45" s="39">
        <v>108.78066112396647</v>
      </c>
      <c r="R45" s="5"/>
      <c r="S45" s="23"/>
      <c r="T45" s="94">
        <v>100.09</v>
      </c>
      <c r="U45" s="94">
        <v>100.44</v>
      </c>
      <c r="V45" s="94">
        <v>99.71</v>
      </c>
      <c r="W45" s="94">
        <v>99.62</v>
      </c>
      <c r="X45" s="94">
        <v>100.13</v>
      </c>
      <c r="Y45" s="94">
        <v>100.18</v>
      </c>
      <c r="Z45" s="94">
        <v>100.13</v>
      </c>
      <c r="AA45" s="94">
        <v>100.48</v>
      </c>
      <c r="AB45" s="94">
        <v>100.51</v>
      </c>
      <c r="AC45" s="94">
        <v>99.9</v>
      </c>
      <c r="AD45" s="94">
        <v>100.32</v>
      </c>
      <c r="AE45" s="94">
        <v>99.99</v>
      </c>
      <c r="AF45" s="94">
        <v>100.11</v>
      </c>
      <c r="AG45" s="94">
        <v>100.05</v>
      </c>
      <c r="AH45" s="94">
        <v>99.96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</row>
    <row r="46" spans="1:71" x14ac:dyDescent="0.3">
      <c r="A46" s="60">
        <v>45870</v>
      </c>
      <c r="B46" s="55"/>
      <c r="C46" s="55">
        <v>0.1</v>
      </c>
      <c r="D46" s="55">
        <f t="shared" si="6"/>
        <v>7.480000000000004</v>
      </c>
      <c r="E46" s="107">
        <v>99.43</v>
      </c>
      <c r="F46" s="55">
        <v>107.48</v>
      </c>
      <c r="G46" s="62">
        <v>99.93</v>
      </c>
      <c r="H46" s="62">
        <f t="shared" si="5"/>
        <v>107.68</v>
      </c>
      <c r="I46" s="55">
        <f t="shared" si="1"/>
        <v>-0.99542937430834399</v>
      </c>
      <c r="J46" s="67">
        <v>100.2</v>
      </c>
      <c r="K46" s="16">
        <f t="shared" si="4"/>
        <v>-0.76999999999999602</v>
      </c>
      <c r="L46" s="39">
        <v>108.89</v>
      </c>
      <c r="M46" s="8">
        <f t="shared" si="2"/>
        <v>-1.4099999999999966</v>
      </c>
      <c r="N46" s="58">
        <v>100.11401667017097</v>
      </c>
      <c r="O46" s="58">
        <f t="shared" ref="O46:O62" si="7">ROUND(PRODUCT(N35:N46)/100^11,2)</f>
        <v>108.21</v>
      </c>
      <c r="P46" s="39">
        <v>100.28197818175619</v>
      </c>
      <c r="Q46" s="39">
        <v>108.97862680223113</v>
      </c>
      <c r="R46" s="5"/>
      <c r="S46" s="23"/>
      <c r="T46" s="94">
        <v>99.96</v>
      </c>
      <c r="U46" s="94">
        <v>100.04</v>
      </c>
      <c r="V46" s="94">
        <v>99.64</v>
      </c>
      <c r="W46" s="94">
        <v>99.62</v>
      </c>
      <c r="X46" s="94">
        <v>99.99</v>
      </c>
      <c r="Y46" s="94">
        <v>99.98</v>
      </c>
      <c r="Z46" s="94">
        <v>100.05</v>
      </c>
      <c r="AA46" s="94">
        <v>100.04</v>
      </c>
      <c r="AB46" s="94">
        <v>100.19</v>
      </c>
      <c r="AC46" s="94">
        <v>99.92</v>
      </c>
      <c r="AD46" s="94">
        <v>100.99</v>
      </c>
      <c r="AE46" s="94">
        <v>100.1</v>
      </c>
      <c r="AF46" s="94">
        <v>99.95</v>
      </c>
      <c r="AG46" s="94">
        <v>99.81</v>
      </c>
      <c r="AH46" s="94">
        <v>100.15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</row>
    <row r="47" spans="1:71" x14ac:dyDescent="0.3">
      <c r="A47" s="59">
        <v>45901</v>
      </c>
      <c r="B47" s="55"/>
      <c r="C47" s="55">
        <f t="shared" si="6"/>
        <v>1</v>
      </c>
      <c r="D47" s="55">
        <f t="shared" si="6"/>
        <v>7.8799999999999955</v>
      </c>
      <c r="E47" s="104">
        <v>101</v>
      </c>
      <c r="F47" s="55">
        <f t="shared" ref="F47:F62" si="8">ROUND(PRODUCT(E36:E47)/100^11,2)</f>
        <v>107.88</v>
      </c>
      <c r="G47" s="62">
        <v>100.2</v>
      </c>
      <c r="H47" s="62">
        <f t="shared" si="5"/>
        <v>107.23</v>
      </c>
      <c r="I47" s="55">
        <f t="shared" si="1"/>
        <v>3.2061714591574031</v>
      </c>
      <c r="J47" s="67">
        <v>100.35</v>
      </c>
      <c r="K47" s="16">
        <f t="shared" si="4"/>
        <v>0.65000000000000568</v>
      </c>
      <c r="L47" s="39">
        <v>108.6</v>
      </c>
      <c r="M47" s="8">
        <f t="shared" si="2"/>
        <v>-0.71999999999999886</v>
      </c>
      <c r="N47" s="58">
        <v>100.75678806900507</v>
      </c>
      <c r="O47" s="58">
        <f t="shared" si="7"/>
        <v>108.36</v>
      </c>
      <c r="P47" s="39">
        <v>100.87024876827329</v>
      </c>
      <c r="Q47" s="39">
        <v>109.17185935584561</v>
      </c>
      <c r="R47" s="5"/>
      <c r="S47" s="23"/>
      <c r="T47" s="94">
        <v>100.35</v>
      </c>
      <c r="U47" s="94">
        <v>100.41</v>
      </c>
      <c r="V47" s="94">
        <v>99.88</v>
      </c>
      <c r="W47" s="94">
        <v>100.2</v>
      </c>
      <c r="X47" s="94">
        <v>100.46</v>
      </c>
      <c r="Y47" s="94">
        <v>100.49</v>
      </c>
      <c r="Z47" s="94">
        <v>100.46</v>
      </c>
      <c r="AA47" s="94">
        <v>100.44</v>
      </c>
      <c r="AB47" s="94">
        <v>100.58</v>
      </c>
      <c r="AC47" s="94">
        <v>100.02</v>
      </c>
      <c r="AD47" s="94">
        <v>100.84</v>
      </c>
      <c r="AE47" s="94">
        <v>100.61</v>
      </c>
      <c r="AF47" s="94">
        <v>100.39</v>
      </c>
      <c r="AG47" s="94">
        <v>100.29</v>
      </c>
      <c r="AH47" s="94">
        <v>100.52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</row>
    <row r="48" spans="1:71" x14ac:dyDescent="0.3">
      <c r="A48" s="60">
        <v>45931</v>
      </c>
      <c r="B48" s="55"/>
      <c r="C48" s="55">
        <f t="shared" si="6"/>
        <v>0.53000000000000114</v>
      </c>
      <c r="D48" s="55">
        <f t="shared" si="6"/>
        <v>7.3599999999999994</v>
      </c>
      <c r="E48" s="97">
        <v>100.53</v>
      </c>
      <c r="F48" s="55">
        <f t="shared" si="8"/>
        <v>107.36</v>
      </c>
      <c r="G48" s="62">
        <v>100.48</v>
      </c>
      <c r="H48" s="62">
        <f t="shared" si="5"/>
        <v>106.65</v>
      </c>
      <c r="I48" s="55">
        <f t="shared" si="1"/>
        <v>3.9083101131258928</v>
      </c>
      <c r="J48" s="67">
        <v>100.58</v>
      </c>
      <c r="K48" s="16">
        <f t="shared" si="4"/>
        <v>-4.9999999999997158E-2</v>
      </c>
      <c r="L48" s="39">
        <v>107.41</v>
      </c>
      <c r="M48" s="8">
        <f t="shared" si="2"/>
        <v>-4.9999999999997158E-2</v>
      </c>
      <c r="N48" s="58">
        <v>100.77963286003839</v>
      </c>
      <c r="O48" s="58">
        <f t="shared" si="7"/>
        <v>108.1</v>
      </c>
      <c r="P48" s="39">
        <v>100.93145977506464</v>
      </c>
      <c r="Q48" s="39">
        <v>108.94186792261314</v>
      </c>
      <c r="R48" s="5"/>
      <c r="S48" s="23"/>
      <c r="T48" s="94">
        <v>100.5</v>
      </c>
      <c r="U48" s="94">
        <v>100.57</v>
      </c>
      <c r="V48" s="94">
        <v>100.08</v>
      </c>
      <c r="W48" s="94">
        <v>100.42</v>
      </c>
      <c r="X48" s="94">
        <v>100.6</v>
      </c>
      <c r="Y48" s="94">
        <v>100.62</v>
      </c>
      <c r="Z48" s="94">
        <v>100.57</v>
      </c>
      <c r="AA48" s="94">
        <v>100.57</v>
      </c>
      <c r="AB48" s="94">
        <v>100.86</v>
      </c>
      <c r="AC48" s="94">
        <v>100.2</v>
      </c>
      <c r="AD48" s="94">
        <v>100.7</v>
      </c>
      <c r="AE48" s="94">
        <v>100.61</v>
      </c>
      <c r="AF48" s="94">
        <v>100.52</v>
      </c>
      <c r="AG48" s="94">
        <v>100.45</v>
      </c>
      <c r="AH48" s="94">
        <v>100.53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spans="1:81" ht="15" thickBot="1" x14ac:dyDescent="0.35">
      <c r="A49" s="71">
        <v>45962</v>
      </c>
      <c r="B49" s="66"/>
      <c r="C49" s="55">
        <f t="shared" si="6"/>
        <v>0.20000000000000284</v>
      </c>
      <c r="D49" s="55">
        <f t="shared" si="6"/>
        <v>5.980000000000004</v>
      </c>
      <c r="E49" s="105">
        <v>100.2</v>
      </c>
      <c r="F49" s="66">
        <f t="shared" si="8"/>
        <v>105.98</v>
      </c>
      <c r="G49" s="72">
        <v>100.35</v>
      </c>
      <c r="H49" s="72">
        <f t="shared" si="5"/>
        <v>105.45</v>
      </c>
      <c r="I49" s="66">
        <f t="shared" si="1"/>
        <v>7.1437534623089078</v>
      </c>
      <c r="J49" s="73">
        <v>100.55</v>
      </c>
      <c r="K49" s="16">
        <f t="shared" si="4"/>
        <v>-0.34999999999999432</v>
      </c>
      <c r="L49" s="39">
        <v>106.41</v>
      </c>
      <c r="M49" s="8">
        <f t="shared" si="2"/>
        <v>-0.42999999999999261</v>
      </c>
      <c r="N49" s="58">
        <v>101.0208978534157</v>
      </c>
      <c r="O49" s="58">
        <f t="shared" si="7"/>
        <v>107.59</v>
      </c>
      <c r="P49" s="39">
        <v>101.01877020573814</v>
      </c>
      <c r="Q49" s="39">
        <v>108.32254335020212</v>
      </c>
      <c r="R49" s="5" t="s">
        <v>63</v>
      </c>
      <c r="S49" s="23"/>
      <c r="T49" s="9">
        <v>100.57</v>
      </c>
      <c r="U49" s="9">
        <v>100.63</v>
      </c>
      <c r="V49" s="9">
        <v>100.11</v>
      </c>
      <c r="W49" s="9">
        <v>100.43</v>
      </c>
      <c r="X49" s="9">
        <v>100.67</v>
      </c>
      <c r="Y49" s="9">
        <v>100.67</v>
      </c>
      <c r="Z49" s="9">
        <v>100.68</v>
      </c>
      <c r="AA49" s="9">
        <v>100.73</v>
      </c>
      <c r="AB49" s="9">
        <v>100.97</v>
      </c>
      <c r="AC49" s="9">
        <v>100.08</v>
      </c>
      <c r="AD49" s="9">
        <v>101.47</v>
      </c>
      <c r="AE49" s="9">
        <v>100.14</v>
      </c>
      <c r="AF49" s="9">
        <v>100.56</v>
      </c>
      <c r="AG49" s="9">
        <v>100.52</v>
      </c>
      <c r="AH49" s="9">
        <v>100.52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</row>
    <row r="50" spans="1:81" ht="15" customHeight="1" thickBot="1" x14ac:dyDescent="0.35">
      <c r="A50" s="78">
        <v>45992</v>
      </c>
      <c r="B50" s="79"/>
      <c r="C50" s="55">
        <f t="shared" si="6"/>
        <v>0.65000000000000568</v>
      </c>
      <c r="D50" s="55">
        <f t="shared" si="6"/>
        <v>5.7099999999999937</v>
      </c>
      <c r="E50" s="106">
        <v>100.65</v>
      </c>
      <c r="F50" s="79">
        <f>ROUND(PRODUCT(E39:E50)/100^11,2)</f>
        <v>105.71</v>
      </c>
      <c r="G50" s="80">
        <v>100.3</v>
      </c>
      <c r="H50" s="80">
        <f t="shared" si="5"/>
        <v>104.81</v>
      </c>
      <c r="I50" s="79">
        <f t="shared" si="1"/>
        <v>5.6618197194086832</v>
      </c>
      <c r="J50" s="81">
        <v>100.6</v>
      </c>
      <c r="K50" s="82">
        <f t="shared" si="4"/>
        <v>5.0000000000011369E-2</v>
      </c>
      <c r="L50" s="88">
        <v>106.08</v>
      </c>
      <c r="M50" s="84">
        <f t="shared" si="2"/>
        <v>-0.37000000000000455</v>
      </c>
      <c r="N50" s="85">
        <v>100.940717116917</v>
      </c>
      <c r="O50" s="85">
        <f t="shared" si="7"/>
        <v>107.63</v>
      </c>
      <c r="P50" s="83">
        <v>100.80239950954868</v>
      </c>
      <c r="Q50" s="86">
        <v>108.27915647172115</v>
      </c>
      <c r="R50" s="103">
        <v>106.2</v>
      </c>
      <c r="S50" s="23"/>
      <c r="T50" s="94">
        <v>100.62</v>
      </c>
      <c r="U50" s="94">
        <v>100.58</v>
      </c>
      <c r="V50" s="94">
        <v>100.14</v>
      </c>
      <c r="W50" s="94">
        <v>100.32</v>
      </c>
      <c r="X50" s="94">
        <v>100.71</v>
      </c>
      <c r="Y50" s="94">
        <v>100.8</v>
      </c>
      <c r="Z50" s="94">
        <v>100.41</v>
      </c>
      <c r="AA50" s="94">
        <v>100.67</v>
      </c>
      <c r="AB50" s="94">
        <v>101.06</v>
      </c>
      <c r="AC50" s="94">
        <v>100.63</v>
      </c>
      <c r="AD50" s="94">
        <v>103.44</v>
      </c>
      <c r="AE50" s="94">
        <v>100.39</v>
      </c>
      <c r="AF50" s="94">
        <v>100.6</v>
      </c>
      <c r="AG50" s="94">
        <v>100.59</v>
      </c>
      <c r="AH50" s="94">
        <v>100.71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4</v>
      </c>
      <c r="BD50" s="5"/>
    </row>
    <row r="51" spans="1:81" x14ac:dyDescent="0.3">
      <c r="A51" s="74">
        <v>46023</v>
      </c>
      <c r="B51" s="87"/>
      <c r="C51" s="55">
        <f t="shared" si="6"/>
        <v>0.65000000000000568</v>
      </c>
      <c r="D51" s="55">
        <f t="shared" si="6"/>
        <v>5.5100000000000051</v>
      </c>
      <c r="E51" s="75">
        <v>100.65</v>
      </c>
      <c r="F51" s="75">
        <f t="shared" si="8"/>
        <v>105.51</v>
      </c>
      <c r="G51" s="76">
        <v>100.516935880387</v>
      </c>
      <c r="H51" s="76">
        <f t="shared" si="5"/>
        <v>104.67</v>
      </c>
      <c r="I51" s="87"/>
      <c r="J51" s="77">
        <v>100.55</v>
      </c>
      <c r="L51" s="39">
        <v>105.77</v>
      </c>
      <c r="M51" s="31"/>
      <c r="N51" s="58">
        <v>100.85520922202204</v>
      </c>
      <c r="O51" s="58">
        <f t="shared" si="7"/>
        <v>107.64</v>
      </c>
      <c r="P51" s="31">
        <v>100.92094808391631</v>
      </c>
      <c r="Q51" s="31">
        <v>108.07602342122763</v>
      </c>
      <c r="T51" s="94">
        <v>100.69</v>
      </c>
      <c r="U51" s="94">
        <v>100.49</v>
      </c>
      <c r="V51" s="94">
        <v>100.28</v>
      </c>
      <c r="W51" s="94">
        <v>100.31</v>
      </c>
      <c r="X51" s="94">
        <v>100.67</v>
      </c>
      <c r="Y51" s="94">
        <v>101.02</v>
      </c>
      <c r="Z51" s="94">
        <v>100.79</v>
      </c>
      <c r="AA51" s="94">
        <v>100.93</v>
      </c>
      <c r="AB51" s="94">
        <v>100.96</v>
      </c>
      <c r="AC51" s="94">
        <v>100.78</v>
      </c>
      <c r="AD51" s="94">
        <v>102.57</v>
      </c>
      <c r="AE51" s="94">
        <v>100.45</v>
      </c>
      <c r="AF51" s="94">
        <v>100.39</v>
      </c>
      <c r="AG51" s="94">
        <v>100.38</v>
      </c>
      <c r="AH51" s="94">
        <v>100.91</v>
      </c>
    </row>
    <row r="52" spans="1:81" x14ac:dyDescent="0.3">
      <c r="A52" s="60">
        <v>46054</v>
      </c>
      <c r="B52" s="56"/>
      <c r="C52" s="55">
        <f t="shared" si="6"/>
        <v>0.68000000000000682</v>
      </c>
      <c r="D52" s="55">
        <f t="shared" si="6"/>
        <v>4.8199999999999932</v>
      </c>
      <c r="E52" s="55">
        <v>100.68</v>
      </c>
      <c r="F52" s="55">
        <f t="shared" si="8"/>
        <v>104.82</v>
      </c>
      <c r="G52" s="62">
        <v>100.43</v>
      </c>
      <c r="H52" s="62">
        <f t="shared" si="5"/>
        <v>104.6</v>
      </c>
      <c r="I52" s="56"/>
      <c r="J52" s="67">
        <v>100.5</v>
      </c>
      <c r="L52" s="39">
        <v>104.9</v>
      </c>
      <c r="M52" s="31"/>
      <c r="N52" s="58">
        <v>100.82935260250943</v>
      </c>
      <c r="O52" s="58">
        <f t="shared" si="7"/>
        <v>107.1</v>
      </c>
      <c r="P52" s="31">
        <v>100.83075333756595</v>
      </c>
      <c r="Q52" s="31">
        <v>107.76054907008718</v>
      </c>
      <c r="T52" s="95">
        <v>100.75</v>
      </c>
      <c r="U52" s="95">
        <v>100.58</v>
      </c>
      <c r="V52" s="95">
        <v>100.3</v>
      </c>
      <c r="W52" s="95">
        <v>100.54</v>
      </c>
      <c r="X52" s="95">
        <v>100.72</v>
      </c>
      <c r="Y52" s="95">
        <v>100.88</v>
      </c>
      <c r="Z52" s="95">
        <v>100.76</v>
      </c>
      <c r="AA52" s="95">
        <v>100.89</v>
      </c>
      <c r="AB52" s="95">
        <v>101.04</v>
      </c>
      <c r="AC52" s="95">
        <v>100.85</v>
      </c>
      <c r="AD52" s="95">
        <v>100.57</v>
      </c>
      <c r="AE52" s="95">
        <v>100.75</v>
      </c>
      <c r="AF52" s="95">
        <v>100.62</v>
      </c>
      <c r="AG52" s="95">
        <v>100.62</v>
      </c>
      <c r="AH52" s="95">
        <v>100.82</v>
      </c>
    </row>
    <row r="53" spans="1:81" x14ac:dyDescent="0.3">
      <c r="A53" s="59">
        <v>46082</v>
      </c>
      <c r="B53" s="56"/>
      <c r="C53" s="55">
        <f t="shared" si="6"/>
        <v>0.48486469999997439</v>
      </c>
      <c r="D53" s="55">
        <f t="shared" si="6"/>
        <v>4.480000000000004</v>
      </c>
      <c r="E53" s="55">
        <v>100.48486469999997</v>
      </c>
      <c r="F53" s="55">
        <f t="shared" si="8"/>
        <v>104.48</v>
      </c>
      <c r="G53" s="56"/>
      <c r="H53" s="56"/>
      <c r="I53" s="56"/>
      <c r="J53" s="67">
        <v>100.48486469999997</v>
      </c>
      <c r="L53" s="39">
        <v>104.56</v>
      </c>
      <c r="M53" s="31"/>
      <c r="N53" s="58">
        <v>100.62860081921653</v>
      </c>
      <c r="O53" s="58">
        <f t="shared" si="7"/>
        <v>106.91</v>
      </c>
      <c r="P53" s="31">
        <v>100.48486469999997</v>
      </c>
      <c r="Q53" s="31">
        <v>107.43140972461885</v>
      </c>
      <c r="T53" s="95">
        <v>100.65</v>
      </c>
      <c r="U53" s="95">
        <v>100.71</v>
      </c>
      <c r="V53" s="95">
        <v>100.15</v>
      </c>
      <c r="W53" s="95">
        <v>100.44</v>
      </c>
      <c r="X53" s="95">
        <v>100.61</v>
      </c>
      <c r="Y53" s="95">
        <v>101.03</v>
      </c>
      <c r="Z53" s="95">
        <v>100.67</v>
      </c>
      <c r="AA53" s="95">
        <v>101.05</v>
      </c>
      <c r="AB53" s="95">
        <v>100.94</v>
      </c>
      <c r="AC53" s="95">
        <v>101.05</v>
      </c>
      <c r="AD53" s="95">
        <v>99.47</v>
      </c>
      <c r="AE53" s="95">
        <v>100.59</v>
      </c>
      <c r="AF53" s="95">
        <v>100.2</v>
      </c>
      <c r="AG53" s="95">
        <v>100.21</v>
      </c>
      <c r="AH53" s="95">
        <v>100.65</v>
      </c>
    </row>
    <row r="54" spans="1:81" x14ac:dyDescent="0.3">
      <c r="A54" s="60">
        <v>46113</v>
      </c>
      <c r="B54" s="56"/>
      <c r="C54" s="55">
        <f t="shared" si="6"/>
        <v>0.5</v>
      </c>
      <c r="D54" s="55">
        <f t="shared" si="6"/>
        <v>4.4500000000000028</v>
      </c>
      <c r="E54" s="55">
        <v>100.5</v>
      </c>
      <c r="F54" s="55">
        <f t="shared" si="8"/>
        <v>104.45</v>
      </c>
      <c r="G54" s="56"/>
      <c r="H54" s="56"/>
      <c r="I54" s="56"/>
      <c r="J54" s="67">
        <v>100.5</v>
      </c>
      <c r="L54" s="39">
        <v>104.53</v>
      </c>
      <c r="M54" s="31"/>
      <c r="N54" s="58">
        <v>100.5890941354649</v>
      </c>
      <c r="O54" s="58">
        <f t="shared" si="7"/>
        <v>106.97</v>
      </c>
      <c r="P54" s="31">
        <v>100.69128739999996</v>
      </c>
      <c r="Q54" s="31">
        <v>107.36458664594527</v>
      </c>
      <c r="T54" s="95">
        <v>100.72</v>
      </c>
      <c r="U54" s="95">
        <v>100.82</v>
      </c>
      <c r="V54" s="95">
        <v>100.21</v>
      </c>
      <c r="W54" s="95">
        <v>100.76</v>
      </c>
      <c r="X54" s="95">
        <v>100.74</v>
      </c>
      <c r="Y54" s="95">
        <v>100.94</v>
      </c>
      <c r="Z54" s="95">
        <v>100.71</v>
      </c>
      <c r="AA54" s="95">
        <v>100.92</v>
      </c>
      <c r="AB54" s="95">
        <v>101.05</v>
      </c>
      <c r="AC54" s="95">
        <v>100.73</v>
      </c>
      <c r="AD54" s="95">
        <v>99.69</v>
      </c>
      <c r="AE54" s="95">
        <v>100.64</v>
      </c>
      <c r="AF54" s="95">
        <v>100.48</v>
      </c>
      <c r="AG54" s="95">
        <v>100.49</v>
      </c>
      <c r="AH54" s="95">
        <v>100.8</v>
      </c>
    </row>
    <row r="55" spans="1:81" x14ac:dyDescent="0.3">
      <c r="A55" s="59">
        <v>46143</v>
      </c>
      <c r="B55" s="68"/>
      <c r="C55" s="55">
        <f t="shared" si="6"/>
        <v>0.28006969999998432</v>
      </c>
      <c r="D55" s="55">
        <f t="shared" si="6"/>
        <v>4.8199999999999932</v>
      </c>
      <c r="E55" s="55">
        <v>100.28006969999998</v>
      </c>
      <c r="F55" s="55">
        <f t="shared" si="8"/>
        <v>104.82</v>
      </c>
      <c r="G55" s="68"/>
      <c r="H55" s="68"/>
      <c r="I55" s="68"/>
      <c r="J55" s="67">
        <v>100.28006969999998</v>
      </c>
      <c r="K55" s="89"/>
      <c r="L55" s="39">
        <v>104.89</v>
      </c>
      <c r="M55" s="61"/>
      <c r="N55" s="58">
        <v>100.23310466408159</v>
      </c>
      <c r="O55" s="58">
        <f t="shared" si="7"/>
        <v>107.29</v>
      </c>
      <c r="P55" s="63">
        <v>100.28006969999998</v>
      </c>
      <c r="Q55" s="63">
        <v>107.16716766958062</v>
      </c>
      <c r="R55" s="42"/>
      <c r="S55" s="42"/>
      <c r="T55" s="95">
        <v>100.48</v>
      </c>
      <c r="U55" s="95">
        <v>100.67</v>
      </c>
      <c r="V55" s="95">
        <v>99.98</v>
      </c>
      <c r="W55" s="95">
        <v>100.33</v>
      </c>
      <c r="X55" s="95">
        <v>100.47</v>
      </c>
      <c r="Y55" s="95">
        <v>100.48</v>
      </c>
      <c r="Z55" s="95">
        <v>100.44</v>
      </c>
      <c r="AA55" s="95">
        <v>100.42</v>
      </c>
      <c r="AB55" s="95">
        <v>100.76</v>
      </c>
      <c r="AC55" s="95">
        <v>100.81</v>
      </c>
      <c r="AD55" s="95">
        <v>99.75</v>
      </c>
      <c r="AE55" s="95">
        <v>100.34</v>
      </c>
      <c r="AF55" s="95">
        <v>100.39</v>
      </c>
      <c r="AG55" s="95">
        <v>100.4</v>
      </c>
      <c r="AH55" s="95">
        <v>100.59</v>
      </c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</row>
    <row r="56" spans="1:81" x14ac:dyDescent="0.3">
      <c r="A56" s="60">
        <v>46174</v>
      </c>
      <c r="B56" s="56"/>
      <c r="C56" s="55">
        <f t="shared" si="6"/>
        <v>6.6264999999972929E-2</v>
      </c>
      <c r="D56" s="55">
        <f t="shared" si="6"/>
        <v>4.9300000000000068</v>
      </c>
      <c r="E56" s="55">
        <v>100.06626499999997</v>
      </c>
      <c r="F56" s="55">
        <f t="shared" si="8"/>
        <v>104.93</v>
      </c>
      <c r="G56" s="56"/>
      <c r="H56" s="56"/>
      <c r="I56" s="56"/>
      <c r="J56" s="67">
        <v>100.06626499999997</v>
      </c>
      <c r="K56" s="3"/>
      <c r="L56" s="39">
        <v>105</v>
      </c>
      <c r="M56" s="3"/>
      <c r="N56" s="58">
        <v>100.12416033480605</v>
      </c>
      <c r="O56" s="58">
        <f t="shared" si="7"/>
        <v>107.47</v>
      </c>
      <c r="P56" s="31">
        <v>100.06626499999997</v>
      </c>
      <c r="Q56" s="31">
        <v>106.90907879277735</v>
      </c>
      <c r="R5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M56" s="26">
        <v>45505</v>
      </c>
      <c r="BN56" s="26">
        <v>45474</v>
      </c>
      <c r="BO56" s="26">
        <v>45444</v>
      </c>
      <c r="BP56" s="26">
        <v>45413</v>
      </c>
      <c r="BQ56" s="26">
        <v>45383</v>
      </c>
      <c r="BR56" s="26">
        <v>45352</v>
      </c>
      <c r="BS56" s="26">
        <v>45323</v>
      </c>
      <c r="BT56" s="26">
        <v>45292</v>
      </c>
      <c r="BU56" s="26">
        <v>45261</v>
      </c>
      <c r="BV56" s="26">
        <v>45231</v>
      </c>
      <c r="BW56" s="26">
        <v>45200</v>
      </c>
      <c r="BX56" s="26">
        <v>45170</v>
      </c>
      <c r="BY56" s="26">
        <v>45139</v>
      </c>
      <c r="BZ56" s="26">
        <v>45108</v>
      </c>
      <c r="CA56" s="26">
        <v>45078</v>
      </c>
      <c r="CB56" s="26">
        <v>45047</v>
      </c>
      <c r="CC56" s="26">
        <v>45017</v>
      </c>
    </row>
    <row r="57" spans="1:81" x14ac:dyDescent="0.3">
      <c r="A57" s="59">
        <v>46204</v>
      </c>
      <c r="B57" s="69"/>
      <c r="C57" s="55">
        <f t="shared" si="6"/>
        <v>0.40000000000000568</v>
      </c>
      <c r="D57" s="55">
        <f t="shared" si="6"/>
        <v>4.9699999999999989</v>
      </c>
      <c r="E57" s="55">
        <v>100.4</v>
      </c>
      <c r="F57" s="55">
        <f t="shared" si="8"/>
        <v>104.97</v>
      </c>
      <c r="G57" s="69"/>
      <c r="H57" s="69"/>
      <c r="I57" s="69"/>
      <c r="J57" s="67">
        <v>100.6</v>
      </c>
      <c r="K57" s="3"/>
      <c r="L57" s="39">
        <v>105.26</v>
      </c>
      <c r="M57"/>
      <c r="N57" s="58">
        <v>100.07260959125293</v>
      </c>
      <c r="O57" s="58">
        <f t="shared" si="7"/>
        <v>107.16</v>
      </c>
      <c r="P57" s="31">
        <v>99.861321699999991</v>
      </c>
      <c r="Q57" s="31">
        <v>106.43607913079443</v>
      </c>
      <c r="R57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F57" s="19" t="s">
        <v>15</v>
      </c>
      <c r="BG57" s="19"/>
      <c r="BH57" s="19"/>
      <c r="BI57" s="19"/>
      <c r="BK57" s="3" t="s">
        <v>15</v>
      </c>
      <c r="BL57" s="3"/>
      <c r="BM57" s="31">
        <f>BF72+100</f>
        <v>100.94</v>
      </c>
      <c r="BN57" s="3">
        <v>101.07</v>
      </c>
      <c r="BO57" s="33">
        <v>100.18</v>
      </c>
      <c r="BP57" s="33">
        <v>100.94</v>
      </c>
      <c r="BQ57" s="4">
        <v>100.38</v>
      </c>
      <c r="BR57" s="27">
        <v>100.53</v>
      </c>
      <c r="BS57" s="3">
        <v>100.53</v>
      </c>
      <c r="BT57" s="3">
        <v>100.87</v>
      </c>
      <c r="BU57" s="3">
        <v>100.29</v>
      </c>
      <c r="BV57" s="3">
        <v>100.74</v>
      </c>
      <c r="BW57" s="3">
        <v>100.46</v>
      </c>
      <c r="BX57" s="3">
        <v>101.75</v>
      </c>
      <c r="BY57" s="3">
        <v>99.93</v>
      </c>
      <c r="BZ57" s="3">
        <v>100.5</v>
      </c>
      <c r="CA57" s="3">
        <v>100.43</v>
      </c>
      <c r="CB57" s="3">
        <v>99.75</v>
      </c>
      <c r="CC57" s="3">
        <v>100.72</v>
      </c>
    </row>
    <row r="58" spans="1:81" x14ac:dyDescent="0.3">
      <c r="A58" s="60">
        <v>46235</v>
      </c>
      <c r="B58" s="69"/>
      <c r="C58" s="69"/>
      <c r="D58" s="69"/>
      <c r="E58" s="70">
        <v>99.814364599999976</v>
      </c>
      <c r="F58" s="55">
        <f t="shared" si="8"/>
        <v>105.38</v>
      </c>
      <c r="G58" s="69"/>
      <c r="H58" s="69"/>
      <c r="I58" s="69"/>
      <c r="J58" s="67">
        <v>99.814364599999976</v>
      </c>
      <c r="K58" s="3"/>
      <c r="L58" s="39">
        <v>105.66</v>
      </c>
      <c r="M58"/>
      <c r="N58" s="58">
        <v>99.814364599999976</v>
      </c>
      <c r="O58" s="58">
        <f t="shared" si="7"/>
        <v>106.84</v>
      </c>
      <c r="P58" s="31">
        <v>99.814364599999976</v>
      </c>
      <c r="Q58" s="31">
        <v>105.95015287207549</v>
      </c>
      <c r="R58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E58" s="30">
        <v>40299</v>
      </c>
      <c r="BF58">
        <v>0.64</v>
      </c>
      <c r="BG58" s="7"/>
      <c r="BH58" s="7"/>
      <c r="BI58" s="7"/>
      <c r="BK58" s="3" t="s">
        <v>36</v>
      </c>
      <c r="BL58" s="3"/>
      <c r="BM58" s="31">
        <f t="shared" ref="BM58:CA58" si="9">AVERAGE(BM57:BO57)</f>
        <v>100.73</v>
      </c>
      <c r="BN58" s="31">
        <f t="shared" si="9"/>
        <v>100.73</v>
      </c>
      <c r="BO58" s="31">
        <f t="shared" si="9"/>
        <v>100.5</v>
      </c>
      <c r="BP58" s="31">
        <f t="shared" si="9"/>
        <v>100.61666666666667</v>
      </c>
      <c r="BQ58" s="31">
        <f t="shared" si="9"/>
        <v>100.48</v>
      </c>
      <c r="BR58" s="31">
        <f t="shared" si="9"/>
        <v>100.64333333333333</v>
      </c>
      <c r="BS58" s="31">
        <f t="shared" si="9"/>
        <v>100.56333333333333</v>
      </c>
      <c r="BT58" s="31">
        <f t="shared" si="9"/>
        <v>100.63333333333334</v>
      </c>
      <c r="BU58" s="31">
        <f t="shared" si="9"/>
        <v>100.49666666666667</v>
      </c>
      <c r="BV58" s="31">
        <f t="shared" si="9"/>
        <v>100.98333333333333</v>
      </c>
      <c r="BW58" s="31">
        <f t="shared" si="9"/>
        <v>100.71333333333332</v>
      </c>
      <c r="BX58" s="31">
        <f t="shared" si="9"/>
        <v>100.72666666666667</v>
      </c>
      <c r="BY58" s="31">
        <f t="shared" si="9"/>
        <v>100.28666666666668</v>
      </c>
      <c r="BZ58" s="31">
        <f t="shared" si="9"/>
        <v>100.22666666666667</v>
      </c>
      <c r="CA58" s="31">
        <f t="shared" si="9"/>
        <v>100.3</v>
      </c>
      <c r="CB58" s="3"/>
      <c r="CC58" s="3"/>
    </row>
    <row r="59" spans="1:81" x14ac:dyDescent="0.3">
      <c r="A59" s="59">
        <v>46266</v>
      </c>
      <c r="B59" s="69"/>
      <c r="C59" s="69"/>
      <c r="D59" s="69"/>
      <c r="E59" s="70">
        <v>100.07152929999997</v>
      </c>
      <c r="F59" s="55">
        <f t="shared" si="8"/>
        <v>104.41</v>
      </c>
      <c r="G59" s="69"/>
      <c r="H59" s="69"/>
      <c r="I59" s="69"/>
      <c r="J59" s="67">
        <v>100.07152929999997</v>
      </c>
      <c r="K59" s="3"/>
      <c r="L59" s="39">
        <v>104.69</v>
      </c>
      <c r="M59"/>
      <c r="N59" s="58">
        <v>100.07152929999997</v>
      </c>
      <c r="O59" s="58">
        <f t="shared" si="7"/>
        <v>106.12</v>
      </c>
      <c r="P59" s="31">
        <v>100.07152929999997</v>
      </c>
      <c r="Q59" s="31">
        <v>105.1861200102244</v>
      </c>
      <c r="R59"/>
      <c r="S59" s="96"/>
      <c r="T59" s="96"/>
      <c r="U59" s="96"/>
      <c r="V59" s="96"/>
      <c r="W59" s="96"/>
      <c r="X59" s="96">
        <f>100*(1+0.0036)^12</f>
        <v>104.40657079419032</v>
      </c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E59" s="30">
        <v>40664</v>
      </c>
      <c r="BF59">
        <v>0.31</v>
      </c>
      <c r="BG59" s="7"/>
      <c r="BH59" s="7"/>
      <c r="BI59" s="7"/>
      <c r="BK59" s="34" t="s">
        <v>35</v>
      </c>
      <c r="BL59" s="34"/>
      <c r="BM59" s="34"/>
      <c r="BN59" s="2">
        <f t="shared" ref="BN59:CC59" si="10">AVERAGE(BN$57:BP$57)^12/100^11-100</f>
        <v>9.1204146012368454</v>
      </c>
      <c r="BO59" s="2">
        <f t="shared" si="10"/>
        <v>6.1677811864499574</v>
      </c>
      <c r="BP59" s="2">
        <f t="shared" si="10"/>
        <v>7.6562147291127332</v>
      </c>
      <c r="BQ59" s="2">
        <f t="shared" si="10"/>
        <v>5.9145235035987298</v>
      </c>
      <c r="BR59" s="2">
        <f t="shared" si="10"/>
        <v>7.9991027537831201</v>
      </c>
      <c r="BS59" s="2">
        <f t="shared" si="10"/>
        <v>6.9734305913094374</v>
      </c>
      <c r="BT59" s="2">
        <f t="shared" si="10"/>
        <v>7.8704026017796735</v>
      </c>
      <c r="BU59" s="2">
        <f t="shared" si="10"/>
        <v>6.1255330606507243</v>
      </c>
      <c r="BV59" s="2">
        <f t="shared" si="10"/>
        <v>12.459571746567661</v>
      </c>
      <c r="BW59" s="2">
        <f t="shared" si="10"/>
        <v>8.9039524405937271</v>
      </c>
      <c r="BX59" s="2">
        <f t="shared" si="10"/>
        <v>9.0770906435823377</v>
      </c>
      <c r="BY59" s="2">
        <f t="shared" si="10"/>
        <v>3.4947589593967621</v>
      </c>
      <c r="BZ59" s="2">
        <f t="shared" si="10"/>
        <v>2.7541668485761903</v>
      </c>
      <c r="CA59" s="2">
        <f t="shared" si="10"/>
        <v>3.6599980288131349</v>
      </c>
      <c r="CB59" s="2">
        <f t="shared" si="10"/>
        <v>2.8567355285931768</v>
      </c>
      <c r="CC59" s="2">
        <f t="shared" si="10"/>
        <v>8.9904900269943084</v>
      </c>
    </row>
    <row r="60" spans="1:81" x14ac:dyDescent="0.3">
      <c r="A60" s="60">
        <v>46296</v>
      </c>
      <c r="B60" s="56"/>
      <c r="C60" s="56"/>
      <c r="D60" s="56"/>
      <c r="E60" s="70">
        <v>100.3</v>
      </c>
      <c r="F60" s="55">
        <f t="shared" si="8"/>
        <v>104.17</v>
      </c>
      <c r="G60" s="56"/>
      <c r="H60" s="56"/>
      <c r="I60" s="56"/>
      <c r="J60" s="67">
        <v>100.3</v>
      </c>
      <c r="K60" s="3"/>
      <c r="L60" s="39">
        <v>104.4</v>
      </c>
      <c r="M60" s="3"/>
      <c r="N60" s="58">
        <v>100.44051029999997</v>
      </c>
      <c r="O60" s="58">
        <f t="shared" si="7"/>
        <v>105.76</v>
      </c>
      <c r="P60" s="31">
        <v>100.44051029999997</v>
      </c>
      <c r="Q60" s="31">
        <v>104.80352052904256</v>
      </c>
      <c r="R60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E60" s="30">
        <v>41030</v>
      </c>
      <c r="BF60">
        <v>1.32</v>
      </c>
      <c r="BG60" s="7"/>
      <c r="BH60" s="7"/>
      <c r="BI60" s="7"/>
      <c r="BK60" s="3" t="s">
        <v>13</v>
      </c>
      <c r="BL60" s="3"/>
      <c r="BM60" s="3"/>
      <c r="BN60" s="3">
        <v>0.95</v>
      </c>
      <c r="BO60" s="3">
        <v>-0.04</v>
      </c>
      <c r="BP60" s="32">
        <v>0.41</v>
      </c>
      <c r="BQ60" s="32">
        <v>0.4</v>
      </c>
      <c r="BR60" s="3">
        <v>-0.16</v>
      </c>
      <c r="BS60" s="27">
        <v>0.13</v>
      </c>
      <c r="BT60" s="27">
        <v>0.23</v>
      </c>
      <c r="BU60" s="27">
        <v>0.11</v>
      </c>
      <c r="BV60" s="27">
        <v>0.24</v>
      </c>
      <c r="BW60" s="27">
        <v>0.21</v>
      </c>
      <c r="BX60" s="27">
        <v>1.49</v>
      </c>
      <c r="BY60" s="27">
        <v>0.76</v>
      </c>
      <c r="BZ60" s="27">
        <v>0.7</v>
      </c>
      <c r="CA60" s="27">
        <v>0.4</v>
      </c>
      <c r="CB60" s="27">
        <v>0.79</v>
      </c>
      <c r="CC60" s="27">
        <v>0.39</v>
      </c>
    </row>
    <row r="61" spans="1:81" x14ac:dyDescent="0.3">
      <c r="A61" s="59">
        <v>46327</v>
      </c>
      <c r="B61" s="56"/>
      <c r="C61" s="56"/>
      <c r="D61" s="56"/>
      <c r="E61" s="70">
        <v>100.5</v>
      </c>
      <c r="F61" s="55">
        <f t="shared" si="8"/>
        <v>104.48</v>
      </c>
      <c r="G61" s="56"/>
      <c r="H61" s="56"/>
      <c r="I61" s="56"/>
      <c r="J61" s="67">
        <v>100.5</v>
      </c>
      <c r="K61" s="3"/>
      <c r="L61" s="39">
        <v>104.35</v>
      </c>
      <c r="M61" s="3"/>
      <c r="N61" s="58">
        <v>100.59655339999998</v>
      </c>
      <c r="O61" s="58">
        <f t="shared" si="7"/>
        <v>105.31</v>
      </c>
      <c r="P61" s="31">
        <v>100.59655339999998</v>
      </c>
      <c r="Q61" s="31">
        <v>104.46454082897129</v>
      </c>
      <c r="R61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E61" s="30">
        <v>41395</v>
      </c>
      <c r="BF61">
        <v>1.44</v>
      </c>
      <c r="BG61" s="7"/>
      <c r="BH61" s="7"/>
      <c r="BI61" s="7"/>
      <c r="BK61" s="3" t="s">
        <v>12</v>
      </c>
      <c r="BL61" s="3"/>
      <c r="BM61" s="3"/>
      <c r="BN61" s="3">
        <v>0.01</v>
      </c>
      <c r="BO61" s="3">
        <v>0.28000000000000003</v>
      </c>
      <c r="BP61" s="3">
        <v>1.58</v>
      </c>
      <c r="BQ61" s="3">
        <v>0.32</v>
      </c>
      <c r="BR61" s="3">
        <v>1.1499999999999999</v>
      </c>
      <c r="BS61" s="27">
        <v>0.85</v>
      </c>
      <c r="BT61" s="27">
        <v>1.34</v>
      </c>
      <c r="BU61" s="27">
        <v>0.84</v>
      </c>
      <c r="BV61" s="27">
        <v>1.08</v>
      </c>
      <c r="BW61" s="27">
        <v>0.78</v>
      </c>
      <c r="BX61" s="27">
        <v>2.56</v>
      </c>
      <c r="BY61" s="27">
        <v>-0.94</v>
      </c>
      <c r="BZ61" s="27">
        <v>0.41</v>
      </c>
      <c r="CA61" s="27">
        <v>0.19</v>
      </c>
      <c r="CB61" s="27">
        <v>-1.47</v>
      </c>
      <c r="CC61" s="27">
        <v>1.33</v>
      </c>
    </row>
    <row r="62" spans="1:81" x14ac:dyDescent="0.3">
      <c r="A62" s="60">
        <v>46357</v>
      </c>
      <c r="B62" s="56"/>
      <c r="C62" s="56"/>
      <c r="D62" s="56"/>
      <c r="E62" s="70">
        <v>100.4</v>
      </c>
      <c r="F62" s="55">
        <f t="shared" si="8"/>
        <v>104.22</v>
      </c>
      <c r="G62" s="56"/>
      <c r="H62" s="56"/>
      <c r="I62" s="56"/>
      <c r="J62" s="67">
        <v>100.4</v>
      </c>
      <c r="K62" s="3"/>
      <c r="L62" s="39">
        <v>104.14</v>
      </c>
      <c r="M62" s="3"/>
      <c r="N62" s="58">
        <v>100.45509919999998</v>
      </c>
      <c r="O62" s="58">
        <f t="shared" si="7"/>
        <v>104.81</v>
      </c>
      <c r="P62" s="31">
        <v>100.45509919999998</v>
      </c>
      <c r="Q62" s="31">
        <v>104.03528589648204</v>
      </c>
      <c r="R62"/>
      <c r="S62" s="96"/>
      <c r="T62" s="96"/>
      <c r="U62" s="96"/>
      <c r="V62" s="96">
        <v>0.39480999999999999</v>
      </c>
      <c r="W62" s="96">
        <v>0.36534</v>
      </c>
      <c r="X62" s="96">
        <v>0.23985000000000001</v>
      </c>
      <c r="Y62" s="96"/>
      <c r="Z62" s="96"/>
      <c r="AA62" s="101"/>
      <c r="AB62" s="96"/>
      <c r="AC62" s="96"/>
      <c r="AD62" s="96"/>
      <c r="AE62" s="96"/>
      <c r="AF62" s="96"/>
      <c r="AG62" s="96"/>
      <c r="AH62" s="96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E62" s="30">
        <v>41760</v>
      </c>
      <c r="BF62">
        <v>0.65</v>
      </c>
      <c r="BG62" s="7"/>
      <c r="BH62" s="7"/>
      <c r="BI62" s="7"/>
      <c r="BK62" s="3" t="s">
        <v>14</v>
      </c>
      <c r="BL62" s="3"/>
      <c r="BM62" s="3"/>
      <c r="BN62" s="3">
        <v>3.01</v>
      </c>
      <c r="BO62" s="3">
        <v>0.35</v>
      </c>
      <c r="BP62" s="3">
        <v>0.69</v>
      </c>
      <c r="BQ62" s="3">
        <v>0.44</v>
      </c>
      <c r="BR62" s="3">
        <v>0.55000000000000004</v>
      </c>
      <c r="BS62" s="27">
        <v>0.59</v>
      </c>
      <c r="BT62" s="27">
        <v>1.0900000000000001</v>
      </c>
      <c r="BU62" s="27">
        <v>-0.35</v>
      </c>
      <c r="BV62" s="27">
        <v>0.91</v>
      </c>
      <c r="BW62" s="27">
        <v>0.3</v>
      </c>
      <c r="BX62" s="27">
        <v>0.84</v>
      </c>
      <c r="BY62" s="27">
        <v>0.12</v>
      </c>
      <c r="BZ62" s="27">
        <v>0.37</v>
      </c>
      <c r="CA62" s="27">
        <v>0.86</v>
      </c>
      <c r="CB62" s="27">
        <v>0.26</v>
      </c>
      <c r="CC62" s="27">
        <v>0.2</v>
      </c>
    </row>
    <row r="63" spans="1:81" x14ac:dyDescent="0.3">
      <c r="A63"/>
      <c r="P63"/>
      <c r="Q63"/>
      <c r="U63" s="25" t="s">
        <v>62</v>
      </c>
      <c r="V63" s="25" t="s">
        <v>12</v>
      </c>
      <c r="W63" s="25" t="s">
        <v>13</v>
      </c>
      <c r="X63" s="25" t="s">
        <v>14</v>
      </c>
      <c r="AA63" s="100">
        <v>40452</v>
      </c>
      <c r="AB63" s="91">
        <v>0.92</v>
      </c>
      <c r="BE63" s="30">
        <v>42125</v>
      </c>
      <c r="BF63">
        <v>0.37</v>
      </c>
      <c r="BG63" s="7"/>
      <c r="BH63" s="7"/>
      <c r="BI63" s="7"/>
      <c r="BO63"/>
    </row>
    <row r="64" spans="1:81" x14ac:dyDescent="0.3">
      <c r="A64"/>
      <c r="E64" s="8"/>
      <c r="F64" s="8">
        <f>AVERAGE(F39:F50)</f>
        <v>108.33083333333333</v>
      </c>
      <c r="K64" s="16"/>
      <c r="P64"/>
      <c r="Q64"/>
      <c r="T64" s="100">
        <v>40452</v>
      </c>
      <c r="U64" s="91">
        <v>0.5</v>
      </c>
      <c r="V64" s="25">
        <v>5.61</v>
      </c>
      <c r="W64" s="25">
        <v>0.16</v>
      </c>
      <c r="X64" s="25">
        <v>-0.39</v>
      </c>
      <c r="AA64" s="26">
        <v>40817</v>
      </c>
      <c r="AB64" s="92">
        <v>0.46</v>
      </c>
      <c r="BE64" s="30">
        <v>42491</v>
      </c>
      <c r="BF64">
        <v>0.21</v>
      </c>
      <c r="BG64" s="7"/>
      <c r="BH64" s="7"/>
      <c r="BI64" s="7"/>
      <c r="BO64"/>
    </row>
    <row r="65" spans="1:67" x14ac:dyDescent="0.3">
      <c r="A65"/>
      <c r="P65"/>
      <c r="Q65"/>
      <c r="T65" s="26">
        <v>40817</v>
      </c>
      <c r="U65" s="92">
        <v>0.33</v>
      </c>
      <c r="V65" s="25">
        <v>1.26</v>
      </c>
      <c r="W65" s="25">
        <v>0.95</v>
      </c>
      <c r="X65" s="25">
        <v>-0.35</v>
      </c>
      <c r="AA65" s="100">
        <v>41183</v>
      </c>
      <c r="AB65" s="91">
        <v>0.7</v>
      </c>
      <c r="BE65" s="30">
        <v>42856</v>
      </c>
      <c r="BF65">
        <v>0.46</v>
      </c>
      <c r="BG65" s="7"/>
      <c r="BH65" s="7"/>
      <c r="BI65" s="7"/>
      <c r="BO65"/>
    </row>
    <row r="66" spans="1:67" x14ac:dyDescent="0.3">
      <c r="A66"/>
      <c r="P66"/>
      <c r="Q66"/>
      <c r="T66" s="100">
        <v>41183</v>
      </c>
      <c r="U66" s="91">
        <v>0.46</v>
      </c>
      <c r="V66" s="25">
        <v>0.24</v>
      </c>
      <c r="W66" s="25">
        <v>0.79</v>
      </c>
      <c r="X66" s="25">
        <v>0.15</v>
      </c>
      <c r="AA66" s="26">
        <v>41548</v>
      </c>
      <c r="AB66" s="92">
        <v>0.63</v>
      </c>
      <c r="BE66" s="30">
        <v>43221</v>
      </c>
      <c r="BF66">
        <v>0.09</v>
      </c>
      <c r="BG66" s="7"/>
      <c r="BH66" s="7"/>
      <c r="BI66" s="7"/>
      <c r="BO66"/>
    </row>
    <row r="67" spans="1:67" x14ac:dyDescent="0.3">
      <c r="G67" s="5"/>
      <c r="H67" s="5"/>
      <c r="P67"/>
      <c r="Q67"/>
      <c r="T67" s="26">
        <v>41548</v>
      </c>
      <c r="U67" s="92">
        <v>1.03</v>
      </c>
      <c r="V67" s="25">
        <v>0.01</v>
      </c>
      <c r="W67" s="25">
        <v>0.43</v>
      </c>
      <c r="X67" s="25">
        <v>0.02</v>
      </c>
      <c r="AA67" s="100">
        <v>41913</v>
      </c>
      <c r="AB67" s="91">
        <v>0.98</v>
      </c>
      <c r="BE67" s="30">
        <v>43586</v>
      </c>
      <c r="BF67">
        <v>0.53</v>
      </c>
      <c r="BG67" s="7"/>
      <c r="BH67" s="7"/>
      <c r="BI67" s="7"/>
      <c r="BO67"/>
    </row>
    <row r="68" spans="1:67" x14ac:dyDescent="0.3">
      <c r="G68" s="5"/>
      <c r="H68" s="5"/>
      <c r="P68"/>
      <c r="Q68"/>
      <c r="T68" s="100">
        <v>41913</v>
      </c>
      <c r="U68" s="91">
        <v>0.6</v>
      </c>
      <c r="V68" s="25">
        <v>1.76</v>
      </c>
      <c r="W68" s="25">
        <v>1.21</v>
      </c>
      <c r="X68" s="25">
        <v>0.25</v>
      </c>
      <c r="AA68" s="26">
        <v>42278</v>
      </c>
      <c r="AB68" s="92">
        <v>0.32</v>
      </c>
      <c r="BE68" s="30">
        <v>43952</v>
      </c>
      <c r="BF68">
        <v>0.12</v>
      </c>
      <c r="BG68" s="7"/>
      <c r="BH68" s="7"/>
      <c r="BI68" s="7"/>
      <c r="BO68"/>
    </row>
    <row r="69" spans="1:67" x14ac:dyDescent="0.3">
      <c r="G69" s="5"/>
      <c r="H69" s="5"/>
      <c r="P69"/>
      <c r="Q69"/>
      <c r="T69" s="26">
        <v>42278</v>
      </c>
      <c r="U69" s="92">
        <v>1.31</v>
      </c>
      <c r="V69" s="25">
        <v>0.99</v>
      </c>
      <c r="W69" s="25">
        <v>1.56</v>
      </c>
      <c r="X69" s="25">
        <v>0.06</v>
      </c>
      <c r="AA69" s="100">
        <v>42644</v>
      </c>
      <c r="AB69" s="91">
        <v>0.28999999999999998</v>
      </c>
      <c r="BE69" s="30">
        <v>44317</v>
      </c>
      <c r="BF69">
        <v>0.41</v>
      </c>
      <c r="BG69" s="7"/>
      <c r="BH69" s="7"/>
      <c r="BI69" s="7"/>
      <c r="BO69"/>
    </row>
    <row r="70" spans="1:67" x14ac:dyDescent="0.3">
      <c r="G70" s="5"/>
      <c r="H70" s="5"/>
      <c r="P70"/>
      <c r="Q70"/>
      <c r="T70" s="100">
        <v>42644</v>
      </c>
      <c r="U70" s="91">
        <v>0.6</v>
      </c>
      <c r="V70" s="25">
        <v>-0.28999999999999998</v>
      </c>
      <c r="W70" s="25">
        <v>0.73</v>
      </c>
      <c r="X70" s="25">
        <v>-1.3</v>
      </c>
      <c r="AA70" s="26">
        <v>43009</v>
      </c>
      <c r="AB70" s="92">
        <v>0.18</v>
      </c>
      <c r="BE70" s="30">
        <v>44682</v>
      </c>
      <c r="BF70">
        <v>0.68</v>
      </c>
      <c r="BG70" s="7">
        <f>BF70-0.5</f>
        <v>0.18000000000000005</v>
      </c>
      <c r="BH70" s="7"/>
      <c r="BI70" s="7"/>
      <c r="BO70"/>
    </row>
    <row r="71" spans="1:67" x14ac:dyDescent="0.3">
      <c r="G71" s="5"/>
      <c r="H71" s="5"/>
      <c r="P71"/>
      <c r="Q71"/>
      <c r="T71" s="26">
        <v>43009</v>
      </c>
      <c r="U71" s="92">
        <v>0.16</v>
      </c>
      <c r="V71" s="25">
        <v>-0.15</v>
      </c>
      <c r="W71" s="25">
        <v>0.32</v>
      </c>
      <c r="X71" s="25">
        <v>-0.86</v>
      </c>
      <c r="AA71" s="100">
        <v>43374</v>
      </c>
      <c r="AB71" s="91">
        <v>0.87</v>
      </c>
      <c r="BE71" s="30">
        <v>45047</v>
      </c>
      <c r="BF71">
        <v>-0.25</v>
      </c>
      <c r="BG71" s="7">
        <f>BF71+0.5</f>
        <v>0.25</v>
      </c>
      <c r="BH71" s="7"/>
      <c r="BI71" s="7"/>
      <c r="BO71"/>
    </row>
    <row r="72" spans="1:67" x14ac:dyDescent="0.3">
      <c r="G72" s="5"/>
      <c r="H72" s="5"/>
      <c r="P72"/>
      <c r="Q72"/>
      <c r="T72" s="100">
        <v>43374</v>
      </c>
      <c r="U72" s="91">
        <v>0.09</v>
      </c>
      <c r="V72" s="25">
        <v>-0.41</v>
      </c>
      <c r="W72" s="25">
        <v>0.25</v>
      </c>
      <c r="X72" s="25">
        <v>-1</v>
      </c>
      <c r="AA72" s="26">
        <v>43739</v>
      </c>
      <c r="AB72" s="92">
        <v>0.39</v>
      </c>
      <c r="BE72" s="30">
        <v>45413</v>
      </c>
      <c r="BF72">
        <v>0.94</v>
      </c>
      <c r="BG72" s="7">
        <f>BF72-0.5</f>
        <v>0.43999999999999995</v>
      </c>
      <c r="BH72" s="22"/>
      <c r="BI72" s="29"/>
      <c r="BO72"/>
    </row>
    <row r="73" spans="1:67" x14ac:dyDescent="0.3">
      <c r="G73" s="5"/>
      <c r="H73" s="5"/>
      <c r="P73"/>
      <c r="Q73"/>
      <c r="T73" s="26">
        <v>43739</v>
      </c>
      <c r="U73" s="92">
        <v>0.3</v>
      </c>
      <c r="V73" s="25">
        <v>-0.47</v>
      </c>
      <c r="W73" s="25">
        <v>0.33</v>
      </c>
      <c r="X73" s="25">
        <v>-1.02</v>
      </c>
      <c r="AA73" s="100">
        <v>44105</v>
      </c>
      <c r="AB73" s="91">
        <v>0.78</v>
      </c>
      <c r="BE73" s="30">
        <v>45778</v>
      </c>
      <c r="BF73" s="22">
        <f>E43-100</f>
        <v>-6.9999999999993179E-2</v>
      </c>
      <c r="BG73" s="31"/>
      <c r="BH73" s="31"/>
      <c r="BI73" s="31"/>
      <c r="BO73"/>
    </row>
    <row r="74" spans="1:67" x14ac:dyDescent="0.3">
      <c r="G74" s="5"/>
      <c r="H74" s="5"/>
      <c r="P74"/>
      <c r="Q74"/>
      <c r="T74" s="100">
        <v>44105</v>
      </c>
      <c r="U74" s="91">
        <v>0.5</v>
      </c>
      <c r="V74" s="25">
        <v>0.05</v>
      </c>
      <c r="W74" s="25">
        <v>0.64</v>
      </c>
      <c r="X74" s="25">
        <v>-0.55000000000000004</v>
      </c>
      <c r="AA74" s="26">
        <v>44470</v>
      </c>
      <c r="AB74" s="92">
        <v>0.86</v>
      </c>
      <c r="BE74" t="s">
        <v>28</v>
      </c>
      <c r="BF74" s="2">
        <f>MEDIAN(BF58:BF72)</f>
        <v>0.46</v>
      </c>
      <c r="BG74" s="2"/>
      <c r="BH74" s="2"/>
      <c r="BI74" s="2"/>
      <c r="BO74"/>
    </row>
    <row r="75" spans="1:67" x14ac:dyDescent="0.3">
      <c r="G75" s="5"/>
      <c r="H75" s="5"/>
      <c r="P75"/>
      <c r="Q75"/>
      <c r="R75"/>
      <c r="S75" s="96"/>
      <c r="T75" s="26">
        <v>44470</v>
      </c>
      <c r="U75" s="92">
        <v>0.92</v>
      </c>
      <c r="V75" s="101">
        <v>1.73</v>
      </c>
      <c r="W75" s="101">
        <v>0.65</v>
      </c>
      <c r="X75" s="101">
        <v>-1.02</v>
      </c>
      <c r="Y75" s="96"/>
      <c r="Z75" s="96"/>
      <c r="AA75" s="100">
        <v>44835</v>
      </c>
      <c r="AB75" s="91">
        <v>0.26</v>
      </c>
      <c r="AC75" s="96"/>
      <c r="AD75" s="96"/>
      <c r="AE75" s="96"/>
      <c r="AF75" s="96"/>
      <c r="AG75" s="96"/>
      <c r="AH75" s="96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 t="s">
        <v>30</v>
      </c>
      <c r="BF75" s="31">
        <f>AVERAGEIFS(BF58:BF72,BF58:BF72,"&lt;1,31")</f>
        <v>0.39692307692307693</v>
      </c>
      <c r="BG75" s="31"/>
      <c r="BH75" s="31"/>
      <c r="BI75" s="31"/>
      <c r="BO75"/>
    </row>
    <row r="76" spans="1:67" x14ac:dyDescent="0.3">
      <c r="G76" s="5"/>
      <c r="H76" s="5"/>
      <c r="P76"/>
      <c r="Q76"/>
      <c r="R76"/>
      <c r="S76" s="96"/>
      <c r="T76" s="100">
        <v>44835</v>
      </c>
      <c r="U76" s="91">
        <v>0.66</v>
      </c>
      <c r="V76" s="101">
        <v>-0.11</v>
      </c>
      <c r="W76" s="101">
        <v>0.93</v>
      </c>
      <c r="X76" s="101">
        <v>0.21</v>
      </c>
      <c r="Y76" s="96"/>
      <c r="Z76" s="96"/>
      <c r="AA76" s="26">
        <v>45200</v>
      </c>
      <c r="AB76" s="92">
        <v>0.74</v>
      </c>
      <c r="AC76" s="96"/>
      <c r="AD76" s="96"/>
      <c r="AE76" s="96"/>
      <c r="AF76" s="96"/>
      <c r="AG76" s="96"/>
      <c r="AH76" s="9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 t="s">
        <v>29</v>
      </c>
      <c r="BF76" s="2">
        <f>_xlfn.VAR.S(BF58:BF72)</f>
        <v>0.20250285714285715</v>
      </c>
      <c r="BG76" s="2"/>
      <c r="BH76" s="2"/>
      <c r="BI76" s="2"/>
    </row>
    <row r="77" spans="1:67" x14ac:dyDescent="0.3">
      <c r="G77" s="5"/>
      <c r="H77" s="5"/>
      <c r="P77"/>
      <c r="Q77"/>
      <c r="R77"/>
      <c r="S77" s="96"/>
      <c r="T77" s="26">
        <v>45200</v>
      </c>
      <c r="U77" s="92">
        <v>0.46</v>
      </c>
      <c r="V77" s="101">
        <v>2.56</v>
      </c>
      <c r="W77" s="101">
        <v>1.49</v>
      </c>
      <c r="X77" s="101">
        <v>0.84</v>
      </c>
      <c r="Y77" s="96"/>
      <c r="Z77" s="96"/>
      <c r="AA77" s="100">
        <v>45566</v>
      </c>
      <c r="AB77" s="91">
        <v>1.5</v>
      </c>
      <c r="AC77" s="96"/>
      <c r="AD77" s="96"/>
      <c r="AE77" s="96"/>
      <c r="AF77" s="96"/>
      <c r="AG77" s="96"/>
      <c r="AH77" s="96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</row>
    <row r="78" spans="1:67" x14ac:dyDescent="0.3">
      <c r="G78" s="5"/>
      <c r="H78" s="5"/>
      <c r="J78" s="5"/>
      <c r="P78"/>
      <c r="Q78"/>
      <c r="R78"/>
      <c r="S78" s="96"/>
      <c r="T78" s="100">
        <v>45566</v>
      </c>
      <c r="U78" s="91">
        <v>1.02</v>
      </c>
      <c r="V78" s="101">
        <v>0.39</v>
      </c>
      <c r="W78" s="101">
        <v>0.84</v>
      </c>
      <c r="X78" s="101">
        <v>0.66</v>
      </c>
      <c r="Y78" s="96"/>
      <c r="Z78" s="96"/>
      <c r="AA78" s="100">
        <v>45931</v>
      </c>
      <c r="AB78" s="25">
        <v>1.02</v>
      </c>
      <c r="AC78" s="96"/>
      <c r="AD78" s="96"/>
      <c r="AE78" s="96"/>
      <c r="AF78" s="96"/>
      <c r="AG78" s="96"/>
      <c r="AH78" s="96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F78" s="19"/>
      <c r="BG78" s="19"/>
      <c r="BH78" s="19"/>
      <c r="BI78" s="19"/>
    </row>
    <row r="79" spans="1:67" x14ac:dyDescent="0.3">
      <c r="P79"/>
      <c r="Q79"/>
      <c r="R79"/>
      <c r="S79" s="96"/>
      <c r="T79" s="100">
        <v>45931</v>
      </c>
      <c r="U79" s="25">
        <v>0.78</v>
      </c>
      <c r="V79" s="102">
        <v>99.95</v>
      </c>
      <c r="W79" s="102">
        <v>100.75</v>
      </c>
      <c r="X79" s="102">
        <v>100.36</v>
      </c>
      <c r="Y79" s="96"/>
      <c r="Z79" s="96"/>
      <c r="AA79" t="s">
        <v>28</v>
      </c>
      <c r="AB79" s="2">
        <f>MEDIAN(AB63:AB77)</f>
        <v>0.7</v>
      </c>
      <c r="AC79" s="96"/>
      <c r="AD79" s="96"/>
      <c r="AE79" s="96"/>
      <c r="AF79" s="96"/>
      <c r="AG79" s="96"/>
      <c r="AH79" s="96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 s="30"/>
      <c r="BF79" s="4"/>
      <c r="BG79" s="7"/>
      <c r="BH79" s="7"/>
      <c r="BI79" s="7"/>
    </row>
    <row r="80" spans="1:67" x14ac:dyDescent="0.3">
      <c r="P80"/>
      <c r="Q80"/>
      <c r="R80"/>
      <c r="S80" s="96"/>
      <c r="T80" t="s">
        <v>28</v>
      </c>
      <c r="U80" s="2">
        <f>MEDIAN(U64:U78)</f>
        <v>0.5</v>
      </c>
      <c r="V80" s="96"/>
      <c r="W80" s="96"/>
      <c r="X80" s="96"/>
      <c r="Y80" s="96"/>
      <c r="Z80" s="96"/>
      <c r="AA80" t="s">
        <v>30</v>
      </c>
      <c r="AB80" s="31">
        <f>AVERAGEIFS(AB63:AB77,AB63:AB77,"&lt;1,31")</f>
        <v>0.59857142857142853</v>
      </c>
      <c r="AC80" s="96"/>
      <c r="AD80" s="96"/>
      <c r="AE80" s="96"/>
      <c r="AF80" s="96"/>
      <c r="AG80" s="96"/>
      <c r="AH80" s="96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 s="30"/>
      <c r="BF80" s="4"/>
      <c r="BG80" s="7"/>
      <c r="BH80" s="7"/>
      <c r="BI80" s="7"/>
    </row>
    <row r="81" spans="16:61" x14ac:dyDescent="0.3">
      <c r="P81"/>
      <c r="Q81"/>
      <c r="R81"/>
      <c r="S81" s="96"/>
      <c r="T81" t="s">
        <v>30</v>
      </c>
      <c r="U81" s="31">
        <f>AVERAGEIFS(U64:U78,U64:U78,"&lt;1,31")</f>
        <v>0.54500000000000004</v>
      </c>
      <c r="V81" s="96"/>
      <c r="W81" s="96"/>
      <c r="X81" s="96"/>
      <c r="Y81" s="96"/>
      <c r="Z81" s="96"/>
      <c r="AA81" t="s">
        <v>29</v>
      </c>
      <c r="AB81" s="2">
        <f>_xlfn.VAR.S(AB63:AB77)</f>
        <v>0.12419809523809544</v>
      </c>
      <c r="AC81" s="96"/>
      <c r="AD81" s="96"/>
      <c r="AE81" s="96"/>
      <c r="AF81" s="96"/>
      <c r="AG81" s="96"/>
      <c r="AH81" s="96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 s="30"/>
      <c r="BF81" s="4"/>
      <c r="BG81" s="7"/>
      <c r="BH81" s="7"/>
      <c r="BI81" s="7"/>
    </row>
    <row r="82" spans="16:61" x14ac:dyDescent="0.3">
      <c r="P82"/>
      <c r="Q82"/>
      <c r="R82"/>
      <c r="S82" s="96"/>
      <c r="T82" t="s">
        <v>29</v>
      </c>
      <c r="U82" s="2">
        <f>_xlfn.VAR.S(U64:U78)</f>
        <v>0.11764000000000006</v>
      </c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 s="30">
        <v>40330</v>
      </c>
      <c r="BF82" s="91">
        <v>0.73</v>
      </c>
      <c r="BG82" s="7"/>
      <c r="BH82" s="7"/>
      <c r="BI82" s="7"/>
    </row>
    <row r="83" spans="16:61" x14ac:dyDescent="0.3">
      <c r="P83"/>
      <c r="Q83"/>
      <c r="R83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 s="30">
        <v>40695</v>
      </c>
      <c r="BF83" s="92">
        <v>-0.61</v>
      </c>
      <c r="BG83" s="7"/>
      <c r="BH83" s="7"/>
      <c r="BI83" s="7"/>
    </row>
    <row r="84" spans="16:61" x14ac:dyDescent="0.3">
      <c r="P84"/>
      <c r="Q84"/>
      <c r="R84"/>
      <c r="S84" s="96"/>
      <c r="T84" s="96"/>
      <c r="U84" s="96"/>
      <c r="V84" s="96"/>
      <c r="W84" s="96"/>
      <c r="X84" s="96">
        <v>100</v>
      </c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 s="30">
        <v>41061</v>
      </c>
      <c r="BF84" s="91">
        <v>0.55000000000000004</v>
      </c>
      <c r="BG84" s="7"/>
      <c r="BH84" s="7"/>
      <c r="BI84" s="7"/>
    </row>
    <row r="85" spans="16:61" x14ac:dyDescent="0.3">
      <c r="P85"/>
      <c r="Q85"/>
      <c r="R85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 s="30">
        <v>41426</v>
      </c>
      <c r="BF85" s="92">
        <v>0.09</v>
      </c>
      <c r="BG85" s="7"/>
      <c r="BH85" s="7"/>
      <c r="BI85" s="7"/>
    </row>
    <row r="86" spans="16:61" x14ac:dyDescent="0.3">
      <c r="P86"/>
      <c r="Q86"/>
      <c r="R8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 s="30">
        <v>41791</v>
      </c>
      <c r="BF86" s="91">
        <v>0.01</v>
      </c>
      <c r="BG86" s="7"/>
      <c r="BH86" s="7"/>
      <c r="BI86" s="7"/>
    </row>
    <row r="87" spans="16:61" x14ac:dyDescent="0.3">
      <c r="P87"/>
      <c r="Q87"/>
      <c r="R87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 s="30">
        <v>42156</v>
      </c>
      <c r="BF87" s="92">
        <v>-0.28000000000000003</v>
      </c>
      <c r="BG87" s="7"/>
      <c r="BH87" s="7"/>
      <c r="BI87" s="7"/>
    </row>
    <row r="88" spans="16:61" x14ac:dyDescent="0.3">
      <c r="P88"/>
      <c r="Q88"/>
      <c r="R88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 s="30">
        <v>42522</v>
      </c>
      <c r="BF88" s="91">
        <v>0.24</v>
      </c>
      <c r="BG88" s="7"/>
      <c r="BH88" s="7"/>
      <c r="BI88" s="7"/>
    </row>
    <row r="89" spans="16:61" x14ac:dyDescent="0.3">
      <c r="P89"/>
      <c r="Q89"/>
      <c r="R89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 s="30">
        <v>42887</v>
      </c>
      <c r="BF89" s="92">
        <v>0.57999999999999996</v>
      </c>
      <c r="BG89" s="7"/>
      <c r="BH89" s="7"/>
      <c r="BI89" s="7"/>
    </row>
    <row r="90" spans="16:61" x14ac:dyDescent="0.3">
      <c r="P90"/>
      <c r="Q90"/>
      <c r="BE90" s="30">
        <v>43252</v>
      </c>
      <c r="BF90" s="91">
        <v>0.64</v>
      </c>
      <c r="BG90" s="7"/>
      <c r="BH90" s="7"/>
      <c r="BI90" s="7"/>
    </row>
    <row r="91" spans="16:61" x14ac:dyDescent="0.3">
      <c r="P91"/>
      <c r="Q91"/>
      <c r="BE91" s="30">
        <v>43617</v>
      </c>
      <c r="BF91" s="92">
        <v>-0.41</v>
      </c>
      <c r="BG91" s="7"/>
      <c r="BH91" s="7"/>
      <c r="BI91" s="7"/>
    </row>
    <row r="92" spans="16:61" x14ac:dyDescent="0.3">
      <c r="BE92" s="30">
        <v>43983</v>
      </c>
      <c r="BF92" s="91">
        <v>0.01</v>
      </c>
      <c r="BG92" s="7"/>
      <c r="BH92" s="7"/>
      <c r="BI92" s="7"/>
    </row>
    <row r="93" spans="16:61" x14ac:dyDescent="0.3">
      <c r="BE93" s="30">
        <v>44348</v>
      </c>
      <c r="BF93" s="92">
        <v>0.56000000000000005</v>
      </c>
      <c r="BG93" s="29"/>
      <c r="BH93" s="29"/>
      <c r="BI93" s="29"/>
    </row>
    <row r="94" spans="16:61" x14ac:dyDescent="0.3">
      <c r="BE94" s="30">
        <v>44713</v>
      </c>
      <c r="BF94" s="91">
        <v>-0.68</v>
      </c>
      <c r="BG94" s="31"/>
      <c r="BH94" s="31"/>
      <c r="BI94" s="31"/>
    </row>
    <row r="95" spans="16:61" x14ac:dyDescent="0.3">
      <c r="BE95" s="30">
        <v>45078</v>
      </c>
      <c r="BF95" s="92">
        <v>0.43</v>
      </c>
      <c r="BG95" s="2"/>
      <c r="BH95" s="2"/>
      <c r="BI95" s="2"/>
    </row>
    <row r="96" spans="16:61" x14ac:dyDescent="0.3">
      <c r="BE96" s="30">
        <v>45444</v>
      </c>
      <c r="BF96" s="91">
        <v>0.18</v>
      </c>
      <c r="BG96" s="31"/>
      <c r="BH96" s="31"/>
      <c r="BI96" s="31"/>
    </row>
    <row r="97" spans="57:61" x14ac:dyDescent="0.3">
      <c r="BE97" s="30">
        <v>45809</v>
      </c>
      <c r="BF97" s="93">
        <f>E44-100</f>
        <v>-4.0000000000006253E-2</v>
      </c>
      <c r="BG97" s="2"/>
      <c r="BH97" s="2"/>
      <c r="BI97" s="2"/>
    </row>
    <row r="98" spans="57:61" x14ac:dyDescent="0.3">
      <c r="BE98" t="s">
        <v>28</v>
      </c>
      <c r="BF98" s="2">
        <f>MEDIAN(BF82:BF96)</f>
        <v>0.18</v>
      </c>
    </row>
    <row r="99" spans="57:61" x14ac:dyDescent="0.3">
      <c r="BE99" t="s">
        <v>30</v>
      </c>
      <c r="BF99" s="31">
        <f>AVERAGEIFS(BF82:BF96,BF82:BF96,"&lt;1,31")</f>
        <v>0.13600000000000001</v>
      </c>
    </row>
    <row r="100" spans="57:61" x14ac:dyDescent="0.3">
      <c r="BE100" t="s">
        <v>29</v>
      </c>
      <c r="BF100" s="2">
        <f>_xlfn.VAR.S(BF82:BF96)</f>
        <v>0.21298285714285717</v>
      </c>
    </row>
  </sheetData>
  <conditionalFormatting sqref="P23:P2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3:S24 AI23:BB24 T53:AH5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57:CA5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58:CA5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19"/>
  <sheetViews>
    <sheetView topLeftCell="J1" zoomScale="85" zoomScaleNormal="85" workbookViewId="0">
      <pane ySplit="1" topLeftCell="A150" activePane="bottomLeft" state="frozen"/>
      <selection pane="bottomLeft" activeCell="AB174" sqref="AB174"/>
    </sheetView>
  </sheetViews>
  <sheetFormatPr defaultRowHeight="14.4" x14ac:dyDescent="0.3"/>
  <cols>
    <col min="1" max="1" width="10.09765625" bestFit="1" customWidth="1"/>
    <col min="4" max="4" width="9.09765625" style="1"/>
    <col min="6" max="6" width="12.59765625" style="3" bestFit="1" customWidth="1"/>
    <col min="7" max="7" width="20.296875" bestFit="1" customWidth="1"/>
    <col min="8" max="9" width="11.69921875" style="3" bestFit="1" customWidth="1"/>
    <col min="10" max="10" width="12.69921875" style="3" bestFit="1" customWidth="1"/>
    <col min="11" max="11" width="13.8984375" bestFit="1" customWidth="1"/>
    <col min="13" max="13" width="9.09765625" customWidth="1"/>
    <col min="14" max="14" width="11.69921875" bestFit="1" customWidth="1"/>
    <col min="15" max="32" width="10.69921875" bestFit="1" customWidth="1"/>
    <col min="33" max="37" width="10.296875" bestFit="1" customWidth="1"/>
  </cols>
  <sheetData>
    <row r="1" spans="1:11" x14ac:dyDescent="0.3">
      <c r="A1" s="20" t="s">
        <v>16</v>
      </c>
      <c r="B1" s="20" t="s">
        <v>1</v>
      </c>
      <c r="C1" s="20" t="s">
        <v>18</v>
      </c>
      <c r="D1" s="1" t="s">
        <v>17</v>
      </c>
      <c r="E1" s="20" t="s">
        <v>2</v>
      </c>
      <c r="F1" s="20" t="s">
        <v>19</v>
      </c>
      <c r="G1" s="20" t="s">
        <v>20</v>
      </c>
      <c r="H1" s="20" t="s">
        <v>21</v>
      </c>
      <c r="I1" s="20" t="s">
        <v>22</v>
      </c>
      <c r="J1" s="20" t="s">
        <v>38</v>
      </c>
      <c r="K1" s="20" t="s">
        <v>39</v>
      </c>
    </row>
    <row r="2" spans="1:11" x14ac:dyDescent="0.3">
      <c r="A2" s="18">
        <v>40148</v>
      </c>
      <c r="B2" s="20"/>
      <c r="C2" s="20"/>
      <c r="D2" s="1">
        <v>100</v>
      </c>
      <c r="E2" s="20"/>
      <c r="F2" s="28">
        <v>101.377359456923</v>
      </c>
      <c r="J2" s="41"/>
    </row>
    <row r="3" spans="1:11" x14ac:dyDescent="0.3">
      <c r="A3" s="18">
        <v>40179</v>
      </c>
      <c r="B3" s="1">
        <v>1.49</v>
      </c>
      <c r="C3" s="2">
        <f t="shared" ref="C3:C66" si="0">B3+100</f>
        <v>101.49</v>
      </c>
      <c r="D3" s="21">
        <f>C3*D2/100</f>
        <v>101.49</v>
      </c>
      <c r="E3" s="35">
        <v>108.84</v>
      </c>
      <c r="F3" s="28">
        <v>102.336237630703</v>
      </c>
      <c r="G3" s="2">
        <f t="shared" ref="G3:G34" si="1">F3/F2*100</f>
        <v>100.94585041365912</v>
      </c>
      <c r="H3" s="23"/>
      <c r="J3" s="41"/>
    </row>
    <row r="4" spans="1:11" x14ac:dyDescent="0.3">
      <c r="A4" s="18">
        <v>40210</v>
      </c>
      <c r="B4" s="1">
        <v>1.2</v>
      </c>
      <c r="C4" s="2">
        <f t="shared" si="0"/>
        <v>101.2</v>
      </c>
      <c r="D4" s="21">
        <f t="shared" ref="D4:D67" si="2">C4*D3/100</f>
        <v>102.70788</v>
      </c>
      <c r="E4" s="35">
        <v>109.21000000000001</v>
      </c>
      <c r="F4" s="28">
        <v>103.077992848505</v>
      </c>
      <c r="G4" s="2">
        <f t="shared" si="1"/>
        <v>100.72482166139305</v>
      </c>
      <c r="H4" s="23"/>
      <c r="J4" s="41"/>
    </row>
    <row r="5" spans="1:11" x14ac:dyDescent="0.3">
      <c r="A5" s="18">
        <v>40238</v>
      </c>
      <c r="B5" s="1">
        <v>0.92</v>
      </c>
      <c r="C5" s="2">
        <f t="shared" si="0"/>
        <v>100.92</v>
      </c>
      <c r="D5" s="21">
        <f t="shared" si="2"/>
        <v>103.652792496</v>
      </c>
      <c r="E5" s="35">
        <v>108.98</v>
      </c>
      <c r="F5" s="28">
        <v>103.551366450296</v>
      </c>
      <c r="G5" s="2">
        <f t="shared" si="1"/>
        <v>100.45923828036381</v>
      </c>
      <c r="H5" s="23">
        <f t="shared" ref="H5" si="3">AVERAGE(G3:G5)^12/100^11-100</f>
        <v>8.8603196723517073</v>
      </c>
      <c r="J5" s="41"/>
      <c r="K5" s="23"/>
    </row>
    <row r="6" spans="1:11" x14ac:dyDescent="0.3">
      <c r="A6" s="18">
        <v>40269</v>
      </c>
      <c r="B6" s="1">
        <v>0.59</v>
      </c>
      <c r="C6" s="2">
        <f t="shared" si="0"/>
        <v>100.59</v>
      </c>
      <c r="D6" s="21">
        <f t="shared" si="2"/>
        <v>104.26434397172642</v>
      </c>
      <c r="E6" s="35">
        <v>108.03999999999999</v>
      </c>
      <c r="F6" s="28">
        <v>104.20609056022199</v>
      </c>
      <c r="G6" s="2">
        <f t="shared" si="1"/>
        <v>100.63226988920545</v>
      </c>
      <c r="H6" s="23">
        <f t="shared" ref="H6:H69" si="4">AVERAGE(G4:G6)^12/100^11-100</f>
        <v>7.5121996243997273</v>
      </c>
      <c r="J6" s="41"/>
      <c r="K6" s="23"/>
    </row>
    <row r="7" spans="1:11" x14ac:dyDescent="0.3">
      <c r="A7" s="18">
        <v>40299</v>
      </c>
      <c r="B7" s="1">
        <v>0.64</v>
      </c>
      <c r="C7" s="2">
        <f t="shared" si="0"/>
        <v>100.64</v>
      </c>
      <c r="D7" s="21">
        <f t="shared" si="2"/>
        <v>104.93163577314546</v>
      </c>
      <c r="E7" s="35">
        <v>108.11</v>
      </c>
      <c r="F7" s="28">
        <v>105.438668726895</v>
      </c>
      <c r="G7" s="2">
        <f t="shared" si="1"/>
        <v>101.18282737606464</v>
      </c>
      <c r="H7" s="23">
        <f t="shared" si="4"/>
        <v>9.4864175220141078</v>
      </c>
      <c r="J7" s="41"/>
      <c r="K7" s="23"/>
    </row>
    <row r="8" spans="1:11" x14ac:dyDescent="0.3">
      <c r="A8" s="18">
        <v>40330</v>
      </c>
      <c r="B8" s="1">
        <v>0.73</v>
      </c>
      <c r="C8" s="2">
        <f t="shared" si="0"/>
        <v>100.73</v>
      </c>
      <c r="D8" s="21">
        <f t="shared" si="2"/>
        <v>105.69763671428942</v>
      </c>
      <c r="E8" s="35">
        <v>107.36</v>
      </c>
      <c r="F8" s="28">
        <v>105.33044756948</v>
      </c>
      <c r="G8" s="2">
        <f t="shared" si="1"/>
        <v>99.897361035830883</v>
      </c>
      <c r="H8" s="23">
        <f t="shared" si="4"/>
        <v>7.0690290687214201</v>
      </c>
      <c r="J8" s="41"/>
      <c r="K8" s="23"/>
    </row>
    <row r="9" spans="1:11" x14ac:dyDescent="0.3">
      <c r="A9" s="18">
        <v>40360</v>
      </c>
      <c r="B9" s="1">
        <v>-0.49</v>
      </c>
      <c r="C9" s="2">
        <f t="shared" si="0"/>
        <v>99.51</v>
      </c>
      <c r="D9" s="21">
        <f t="shared" si="2"/>
        <v>105.1797182943894</v>
      </c>
      <c r="E9" s="35">
        <v>106.82</v>
      </c>
      <c r="F9" s="28">
        <v>106.42572823210899</v>
      </c>
      <c r="G9" s="2">
        <f t="shared" si="1"/>
        <v>101.0398519021829</v>
      </c>
      <c r="H9" s="23">
        <f t="shared" si="4"/>
        <v>8.8176520865323909</v>
      </c>
      <c r="J9" s="41"/>
      <c r="K9" s="23"/>
    </row>
    <row r="10" spans="1:11" x14ac:dyDescent="0.3">
      <c r="A10" s="18">
        <v>40391</v>
      </c>
      <c r="B10" s="1">
        <v>0.48</v>
      </c>
      <c r="C10" s="2">
        <f t="shared" si="0"/>
        <v>100.48</v>
      </c>
      <c r="D10" s="21">
        <f t="shared" si="2"/>
        <v>105.68458094220249</v>
      </c>
      <c r="E10" s="35">
        <v>106.83</v>
      </c>
      <c r="F10" s="28">
        <v>108.686824203488</v>
      </c>
      <c r="G10" s="2">
        <f t="shared" si="1"/>
        <v>102.12457646185673</v>
      </c>
      <c r="H10" s="23">
        <f t="shared" si="4"/>
        <v>12.958558407693914</v>
      </c>
      <c r="J10" s="41"/>
      <c r="K10" s="23"/>
    </row>
    <row r="11" spans="1:11" x14ac:dyDescent="0.3">
      <c r="A11" s="18">
        <v>40422</v>
      </c>
      <c r="B11" s="1">
        <v>2.29</v>
      </c>
      <c r="C11" s="2">
        <f t="shared" si="0"/>
        <v>102.29</v>
      </c>
      <c r="D11" s="21">
        <f t="shared" si="2"/>
        <v>108.10475784577893</v>
      </c>
      <c r="E11" s="35">
        <v>109.12</v>
      </c>
      <c r="F11" s="28">
        <v>109.240473444808</v>
      </c>
      <c r="G11" s="2">
        <f t="shared" si="1"/>
        <v>100.50939867401354</v>
      </c>
      <c r="H11" s="23">
        <f t="shared" si="4"/>
        <v>15.726627042541438</v>
      </c>
      <c r="J11" s="41"/>
      <c r="K11" s="23"/>
    </row>
    <row r="12" spans="1:11" x14ac:dyDescent="0.3">
      <c r="A12" s="18">
        <v>40452</v>
      </c>
      <c r="B12" s="1">
        <v>0.5</v>
      </c>
      <c r="C12" s="2">
        <f t="shared" si="0"/>
        <v>100.5</v>
      </c>
      <c r="D12" s="21">
        <f t="shared" si="2"/>
        <v>108.64528163500783</v>
      </c>
      <c r="E12" s="35">
        <v>109.47</v>
      </c>
      <c r="F12" s="28">
        <v>110.213589831538</v>
      </c>
      <c r="G12" s="2">
        <f t="shared" si="1"/>
        <v>100.89080205902042</v>
      </c>
      <c r="H12" s="23">
        <f t="shared" si="4"/>
        <v>15.046849754087447</v>
      </c>
      <c r="J12" s="41"/>
      <c r="K12" s="23"/>
    </row>
    <row r="13" spans="1:11" x14ac:dyDescent="0.3">
      <c r="A13" s="18">
        <v>40483</v>
      </c>
      <c r="B13" s="1">
        <v>0.92</v>
      </c>
      <c r="C13" s="2">
        <f t="shared" si="0"/>
        <v>100.92</v>
      </c>
      <c r="D13" s="21">
        <f t="shared" si="2"/>
        <v>109.64481822604991</v>
      </c>
      <c r="E13" s="35">
        <v>109.96000000000001</v>
      </c>
      <c r="F13" s="28">
        <v>111.622147870961</v>
      </c>
      <c r="G13" s="2">
        <f t="shared" si="1"/>
        <v>101.27802573310241</v>
      </c>
      <c r="H13" s="23">
        <f t="shared" si="4"/>
        <v>11.254890385377067</v>
      </c>
      <c r="J13" s="41"/>
      <c r="K13" s="23"/>
    </row>
    <row r="14" spans="1:11" x14ac:dyDescent="0.3">
      <c r="A14" s="18">
        <v>40513</v>
      </c>
      <c r="B14" s="1">
        <v>1.57</v>
      </c>
      <c r="C14" s="2">
        <f t="shared" si="0"/>
        <v>101.57</v>
      </c>
      <c r="D14" s="21">
        <f t="shared" si="2"/>
        <v>111.36624187219888</v>
      </c>
      <c r="E14" s="35">
        <v>111.36</v>
      </c>
      <c r="F14" s="28">
        <v>113.91640179477299</v>
      </c>
      <c r="G14" s="2">
        <f t="shared" si="1"/>
        <v>102.05537518097594</v>
      </c>
      <c r="H14" s="23">
        <f t="shared" si="4"/>
        <v>18.268771910107006</v>
      </c>
      <c r="J14" s="41"/>
      <c r="K14" s="23"/>
    </row>
    <row r="15" spans="1:11" x14ac:dyDescent="0.3">
      <c r="A15" s="18">
        <v>40544</v>
      </c>
      <c r="B15" s="1">
        <v>2.4</v>
      </c>
      <c r="C15" s="2">
        <f t="shared" si="0"/>
        <v>102.4</v>
      </c>
      <c r="D15" s="21">
        <f t="shared" si="2"/>
        <v>114.03903167713166</v>
      </c>
      <c r="E15" s="35">
        <v>112.36</v>
      </c>
      <c r="F15" s="28">
        <v>114.839552817094</v>
      </c>
      <c r="G15" s="2">
        <f t="shared" si="1"/>
        <v>100.81037586140064</v>
      </c>
      <c r="H15" s="23">
        <f t="shared" si="4"/>
        <v>17.89412363438791</v>
      </c>
      <c r="J15" s="41"/>
      <c r="K15" s="23"/>
    </row>
    <row r="16" spans="1:11" x14ac:dyDescent="0.3">
      <c r="A16" s="18">
        <v>40575</v>
      </c>
      <c r="B16" s="1">
        <v>1.06</v>
      </c>
      <c r="C16" s="2">
        <f t="shared" si="0"/>
        <v>101.06</v>
      </c>
      <c r="D16" s="21">
        <f t="shared" si="2"/>
        <v>115.24784541290927</v>
      </c>
      <c r="E16" s="35">
        <v>112.21000000000001</v>
      </c>
      <c r="F16" s="28">
        <v>115.901626686182</v>
      </c>
      <c r="G16" s="2">
        <f t="shared" si="1"/>
        <v>100.92483281503158</v>
      </c>
      <c r="H16" s="23">
        <f t="shared" si="4"/>
        <v>16.261693860494375</v>
      </c>
      <c r="J16" s="41"/>
      <c r="K16" s="23"/>
    </row>
    <row r="17" spans="1:11" x14ac:dyDescent="0.3">
      <c r="A17" s="18">
        <v>40603</v>
      </c>
      <c r="B17" s="1">
        <v>1.1200000000000001</v>
      </c>
      <c r="C17" s="2">
        <f t="shared" si="0"/>
        <v>101.12</v>
      </c>
      <c r="D17" s="21">
        <f t="shared" si="2"/>
        <v>116.53862128153385</v>
      </c>
      <c r="E17" s="35">
        <v>112.43</v>
      </c>
      <c r="F17" s="28">
        <v>116.43350203187499</v>
      </c>
      <c r="G17" s="2">
        <f t="shared" si="1"/>
        <v>100.45890239930205</v>
      </c>
      <c r="H17" s="23">
        <f t="shared" si="4"/>
        <v>9.1382299831925451</v>
      </c>
      <c r="J17" s="41"/>
      <c r="K17" s="23"/>
    </row>
    <row r="18" spans="1:11" x14ac:dyDescent="0.3">
      <c r="A18" s="18">
        <v>40634</v>
      </c>
      <c r="B18" s="1">
        <v>0.6</v>
      </c>
      <c r="C18" s="2">
        <f t="shared" si="0"/>
        <v>100.6</v>
      </c>
      <c r="D18" s="21">
        <f t="shared" si="2"/>
        <v>117.23785300922306</v>
      </c>
      <c r="E18" s="35">
        <v>112.45</v>
      </c>
      <c r="F18" s="28">
        <v>116.77930448706999</v>
      </c>
      <c r="G18" s="2">
        <f t="shared" si="1"/>
        <v>100.2969956663335</v>
      </c>
      <c r="H18" s="23">
        <f t="shared" si="4"/>
        <v>6.9339974530488604</v>
      </c>
      <c r="J18" s="41"/>
      <c r="K18" s="23"/>
    </row>
    <row r="19" spans="1:11" x14ac:dyDescent="0.3">
      <c r="A19" s="18">
        <v>40664</v>
      </c>
      <c r="B19" s="1">
        <v>0.31</v>
      </c>
      <c r="C19" s="2">
        <f t="shared" si="0"/>
        <v>100.31</v>
      </c>
      <c r="D19" s="21">
        <f t="shared" si="2"/>
        <v>117.60129035355165</v>
      </c>
      <c r="E19" s="35">
        <v>112.08</v>
      </c>
      <c r="F19" s="28">
        <v>116.59293858129401</v>
      </c>
      <c r="G19" s="2">
        <f t="shared" si="1"/>
        <v>99.84041187212533</v>
      </c>
      <c r="H19" s="23">
        <f t="shared" si="4"/>
        <v>2.4114895719482234</v>
      </c>
      <c r="J19" s="41"/>
      <c r="K19" s="23"/>
    </row>
    <row r="20" spans="1:11" x14ac:dyDescent="0.3">
      <c r="A20" s="18">
        <v>40695</v>
      </c>
      <c r="B20" s="1">
        <v>-0.61</v>
      </c>
      <c r="C20" s="2">
        <f t="shared" si="0"/>
        <v>99.39</v>
      </c>
      <c r="D20" s="21">
        <f t="shared" si="2"/>
        <v>116.88392248239499</v>
      </c>
      <c r="E20" s="35">
        <v>110.59</v>
      </c>
      <c r="F20" s="28">
        <v>116.97036480331001</v>
      </c>
      <c r="G20" s="2">
        <f t="shared" si="1"/>
        <v>100.32371276220373</v>
      </c>
      <c r="H20" s="23">
        <f t="shared" si="4"/>
        <v>1.8601543796486482</v>
      </c>
      <c r="J20" s="41"/>
      <c r="K20" s="23"/>
    </row>
    <row r="21" spans="1:11" x14ac:dyDescent="0.3">
      <c r="A21" s="18">
        <v>40725</v>
      </c>
      <c r="B21" s="1">
        <v>-0.04</v>
      </c>
      <c r="C21" s="2">
        <f t="shared" si="0"/>
        <v>99.96</v>
      </c>
      <c r="D21" s="21">
        <f t="shared" si="2"/>
        <v>116.83716891340202</v>
      </c>
      <c r="E21" s="35">
        <v>111.1</v>
      </c>
      <c r="F21" s="28">
        <v>117.412993212659</v>
      </c>
      <c r="G21" s="2">
        <f t="shared" si="1"/>
        <v>100.37841072830138</v>
      </c>
      <c r="H21" s="23">
        <f t="shared" si="4"/>
        <v>2.191857373332482</v>
      </c>
      <c r="J21" s="41"/>
      <c r="K21" s="23"/>
    </row>
    <row r="22" spans="1:11" x14ac:dyDescent="0.3">
      <c r="A22" s="18">
        <v>40756</v>
      </c>
      <c r="B22" s="1">
        <v>-0.18</v>
      </c>
      <c r="C22" s="2">
        <f t="shared" si="0"/>
        <v>99.82</v>
      </c>
      <c r="D22" s="21">
        <f t="shared" si="2"/>
        <v>116.62686200935791</v>
      </c>
      <c r="E22" s="35">
        <v>110.37</v>
      </c>
      <c r="F22" s="28">
        <v>118.173407608148</v>
      </c>
      <c r="G22" s="2">
        <f t="shared" si="1"/>
        <v>100.64764075481129</v>
      </c>
      <c r="H22" s="23">
        <f t="shared" si="4"/>
        <v>5.5346844365171251</v>
      </c>
      <c r="J22" s="41"/>
      <c r="K22" s="23"/>
    </row>
    <row r="23" spans="1:11" x14ac:dyDescent="0.3">
      <c r="A23" s="18">
        <v>40787</v>
      </c>
      <c r="B23" s="1">
        <v>0.78</v>
      </c>
      <c r="C23" s="2">
        <f t="shared" si="0"/>
        <v>100.78</v>
      </c>
      <c r="D23" s="21">
        <f t="shared" si="2"/>
        <v>117.5365515330309</v>
      </c>
      <c r="E23" s="35">
        <v>108.74</v>
      </c>
      <c r="F23" s="28">
        <v>118.56118541981699</v>
      </c>
      <c r="G23" s="2">
        <f t="shared" si="1"/>
        <v>100.32814303955323</v>
      </c>
      <c r="H23" s="23">
        <f t="shared" si="4"/>
        <v>5.5533040918552103</v>
      </c>
      <c r="J23" s="41"/>
      <c r="K23" s="23"/>
    </row>
    <row r="24" spans="1:11" x14ac:dyDescent="0.3">
      <c r="A24" s="18">
        <v>40817</v>
      </c>
      <c r="B24" s="1">
        <v>0.33</v>
      </c>
      <c r="C24" s="2">
        <f t="shared" si="0"/>
        <v>100.33</v>
      </c>
      <c r="D24" s="21">
        <f t="shared" si="2"/>
        <v>117.92442215308991</v>
      </c>
      <c r="E24" s="35">
        <v>108.56</v>
      </c>
      <c r="F24" s="28">
        <v>119.069175662722</v>
      </c>
      <c r="G24" s="2">
        <f t="shared" si="1"/>
        <v>100.42846252009564</v>
      </c>
      <c r="H24" s="23">
        <f t="shared" si="4"/>
        <v>5.7638720230567202</v>
      </c>
      <c r="J24" s="41"/>
      <c r="K24" s="23"/>
    </row>
    <row r="25" spans="1:11" x14ac:dyDescent="0.3">
      <c r="A25" s="18">
        <v>40848</v>
      </c>
      <c r="B25" s="1">
        <v>0.46</v>
      </c>
      <c r="C25" s="2">
        <f t="shared" si="0"/>
        <v>100.46</v>
      </c>
      <c r="D25" s="21">
        <f t="shared" si="2"/>
        <v>118.46687449499412</v>
      </c>
      <c r="E25" s="35">
        <v>108.07</v>
      </c>
      <c r="F25" s="28">
        <v>119.11616507155099</v>
      </c>
      <c r="G25" s="2">
        <f t="shared" si="1"/>
        <v>100.03946395745788</v>
      </c>
      <c r="H25" s="23">
        <f t="shared" si="4"/>
        <v>3.2311648890622138</v>
      </c>
      <c r="J25" s="41"/>
      <c r="K25" s="23"/>
    </row>
    <row r="26" spans="1:11" x14ac:dyDescent="0.3">
      <c r="A26" s="18">
        <v>40878</v>
      </c>
      <c r="B26" s="1">
        <v>0.32</v>
      </c>
      <c r="C26" s="2">
        <f t="shared" si="0"/>
        <v>100.32</v>
      </c>
      <c r="D26" s="21">
        <f t="shared" si="2"/>
        <v>118.84596849337809</v>
      </c>
      <c r="E26" s="35">
        <v>106.74</v>
      </c>
      <c r="F26" s="28">
        <v>119.140203080323</v>
      </c>
      <c r="G26" s="2">
        <f t="shared" si="1"/>
        <v>100.02018030781765</v>
      </c>
      <c r="H26" s="23">
        <f t="shared" si="4"/>
        <v>1.9699937817113522</v>
      </c>
      <c r="J26" s="41"/>
      <c r="K26" s="23"/>
    </row>
    <row r="27" spans="1:11" x14ac:dyDescent="0.3">
      <c r="A27" s="18">
        <v>40909</v>
      </c>
      <c r="B27" s="1">
        <v>0.33</v>
      </c>
      <c r="C27" s="2">
        <f t="shared" si="0"/>
        <v>100.33</v>
      </c>
      <c r="D27" s="21">
        <f t="shared" si="2"/>
        <v>119.23816018940624</v>
      </c>
      <c r="E27" s="35">
        <v>104.58</v>
      </c>
      <c r="F27" s="28">
        <v>120.06992092096399</v>
      </c>
      <c r="G27" s="2">
        <f t="shared" si="1"/>
        <v>100.78035609861618</v>
      </c>
      <c r="H27" s="23">
        <f t="shared" si="4"/>
        <v>3.4122315012536859</v>
      </c>
      <c r="J27" s="41"/>
      <c r="K27" s="23"/>
    </row>
    <row r="28" spans="1:11" x14ac:dyDescent="0.3">
      <c r="A28" s="18">
        <v>40940</v>
      </c>
      <c r="B28" s="1">
        <v>1.02</v>
      </c>
      <c r="C28" s="2">
        <f t="shared" si="0"/>
        <v>101.02</v>
      </c>
      <c r="D28" s="21">
        <f t="shared" si="2"/>
        <v>120.45438942333818</v>
      </c>
      <c r="E28" s="35">
        <v>104.53</v>
      </c>
      <c r="F28" s="28">
        <v>120.656457176234</v>
      </c>
      <c r="G28" s="2">
        <f t="shared" si="1"/>
        <v>100.48849557888531</v>
      </c>
      <c r="H28" s="23">
        <f t="shared" si="4"/>
        <v>5.2797410697841087</v>
      </c>
      <c r="J28" s="41"/>
      <c r="K28" s="23"/>
    </row>
    <row r="29" spans="1:11" x14ac:dyDescent="0.3">
      <c r="A29" s="18">
        <v>40969</v>
      </c>
      <c r="B29" s="1">
        <v>0.68</v>
      </c>
      <c r="C29" s="2">
        <f t="shared" si="0"/>
        <v>100.68</v>
      </c>
      <c r="D29" s="21">
        <f t="shared" si="2"/>
        <v>121.27347927141689</v>
      </c>
      <c r="E29" s="35">
        <v>104.08</v>
      </c>
      <c r="F29" s="28">
        <v>120.971955251072</v>
      </c>
      <c r="G29" s="2">
        <f t="shared" si="1"/>
        <v>100.26148461692124</v>
      </c>
      <c r="H29" s="23">
        <f t="shared" si="4"/>
        <v>6.2960406896125818</v>
      </c>
      <c r="J29" s="41"/>
      <c r="K29" s="23"/>
    </row>
    <row r="30" spans="1:11" x14ac:dyDescent="0.3">
      <c r="A30" s="18">
        <v>41000</v>
      </c>
      <c r="B30" s="1">
        <v>0.42</v>
      </c>
      <c r="C30" s="2">
        <f t="shared" si="0"/>
        <v>100.42</v>
      </c>
      <c r="D30" s="21">
        <f t="shared" si="2"/>
        <v>121.78282788435685</v>
      </c>
      <c r="E30" s="35">
        <v>103.89</v>
      </c>
      <c r="F30" s="28">
        <v>122.53836425393899</v>
      </c>
      <c r="G30" s="2">
        <f t="shared" si="1"/>
        <v>101.29485300920859</v>
      </c>
      <c r="H30" s="23">
        <f t="shared" si="4"/>
        <v>8.4930394348005223</v>
      </c>
      <c r="J30" s="41"/>
      <c r="K30" s="23"/>
    </row>
    <row r="31" spans="1:11" x14ac:dyDescent="0.3">
      <c r="A31" s="18">
        <v>41030</v>
      </c>
      <c r="B31" s="1">
        <v>1.32</v>
      </c>
      <c r="C31" s="2">
        <f t="shared" si="0"/>
        <v>101.32</v>
      </c>
      <c r="D31" s="21">
        <f t="shared" si="2"/>
        <v>123.39036121243035</v>
      </c>
      <c r="E31" s="35">
        <v>104.93</v>
      </c>
      <c r="F31" s="28">
        <v>123.758057872073</v>
      </c>
      <c r="G31" s="2">
        <f t="shared" si="1"/>
        <v>100.99535653634678</v>
      </c>
      <c r="H31" s="23">
        <f t="shared" si="4"/>
        <v>10.698060815300437</v>
      </c>
      <c r="J31" s="41"/>
      <c r="K31" s="23"/>
    </row>
    <row r="32" spans="1:11" x14ac:dyDescent="0.3">
      <c r="A32" s="18">
        <v>41061</v>
      </c>
      <c r="B32" s="1">
        <v>0.55000000000000004</v>
      </c>
      <c r="C32" s="2">
        <f t="shared" si="0"/>
        <v>100.55</v>
      </c>
      <c r="D32" s="21">
        <f t="shared" si="2"/>
        <v>124.06900819909872</v>
      </c>
      <c r="E32" s="35">
        <v>106.15</v>
      </c>
      <c r="F32" s="28">
        <v>126.16999816019499</v>
      </c>
      <c r="G32" s="2">
        <f t="shared" si="1"/>
        <v>101.94891575513829</v>
      </c>
      <c r="H32" s="23">
        <f t="shared" si="4"/>
        <v>18.338404301005866</v>
      </c>
      <c r="J32" s="41"/>
      <c r="K32" s="23"/>
    </row>
    <row r="33" spans="1:11" x14ac:dyDescent="0.3">
      <c r="A33" s="18">
        <v>41091</v>
      </c>
      <c r="B33" s="1">
        <v>1.61</v>
      </c>
      <c r="C33" s="2">
        <f t="shared" si="0"/>
        <v>101.61</v>
      </c>
      <c r="D33" s="21">
        <f t="shared" si="2"/>
        <v>126.06651923110421</v>
      </c>
      <c r="E33" s="35">
        <v>107.9</v>
      </c>
      <c r="F33" s="28">
        <v>126.97698487400901</v>
      </c>
      <c r="G33" s="2">
        <f t="shared" si="1"/>
        <v>100.63960269920065</v>
      </c>
      <c r="H33" s="23">
        <f t="shared" si="4"/>
        <v>15.315940176436328</v>
      </c>
      <c r="J33" s="41"/>
      <c r="K33" s="23"/>
    </row>
    <row r="34" spans="1:11" x14ac:dyDescent="0.3">
      <c r="A34" s="18">
        <v>41122</v>
      </c>
      <c r="B34" s="1">
        <v>0.08</v>
      </c>
      <c r="C34" s="2">
        <f t="shared" si="0"/>
        <v>100.08</v>
      </c>
      <c r="D34" s="21">
        <f t="shared" si="2"/>
        <v>126.1673724464891</v>
      </c>
      <c r="E34" s="35">
        <v>108.18</v>
      </c>
      <c r="F34" s="28">
        <v>127.391656577379</v>
      </c>
      <c r="G34" s="2">
        <f t="shared" si="1"/>
        <v>100.3265723341765</v>
      </c>
      <c r="H34" s="23">
        <f t="shared" si="4"/>
        <v>12.304164405685682</v>
      </c>
      <c r="J34" s="41"/>
      <c r="K34" s="23"/>
    </row>
    <row r="35" spans="1:11" x14ac:dyDescent="0.3">
      <c r="A35" s="18">
        <v>41153</v>
      </c>
      <c r="B35" s="1">
        <v>0.42</v>
      </c>
      <c r="C35" s="2">
        <f t="shared" si="0"/>
        <v>100.42</v>
      </c>
      <c r="D35" s="21">
        <f t="shared" si="2"/>
        <v>126.69727541076436</v>
      </c>
      <c r="E35" s="35">
        <v>107.79</v>
      </c>
      <c r="F35" s="28">
        <v>127.953638479688</v>
      </c>
      <c r="G35" s="2">
        <f t="shared" ref="G35:G66" si="5">F35/F34*100</f>
        <v>100.44114498343748</v>
      </c>
      <c r="H35" s="23">
        <f t="shared" si="4"/>
        <v>5.7768156322088089</v>
      </c>
      <c r="J35" s="41"/>
      <c r="K35" s="23"/>
    </row>
    <row r="36" spans="1:11" x14ac:dyDescent="0.3">
      <c r="A36" s="18">
        <v>41183</v>
      </c>
      <c r="B36" s="1">
        <v>0.46</v>
      </c>
      <c r="C36" s="2">
        <f t="shared" si="0"/>
        <v>100.46</v>
      </c>
      <c r="D36" s="21">
        <f t="shared" si="2"/>
        <v>127.28008287765388</v>
      </c>
      <c r="E36" s="35">
        <v>107.93</v>
      </c>
      <c r="F36" s="28">
        <v>128.80489226199299</v>
      </c>
      <c r="G36" s="2">
        <f t="shared" si="5"/>
        <v>100.66528298250785</v>
      </c>
      <c r="H36" s="23">
        <f t="shared" si="4"/>
        <v>5.8850141405139169</v>
      </c>
      <c r="J36" s="41"/>
      <c r="K36" s="23"/>
    </row>
    <row r="37" spans="1:11" x14ac:dyDescent="0.3">
      <c r="A37" s="18">
        <v>41214</v>
      </c>
      <c r="B37" s="1">
        <v>0.7</v>
      </c>
      <c r="C37" s="2">
        <f t="shared" si="0"/>
        <v>100.7</v>
      </c>
      <c r="D37" s="21">
        <f t="shared" si="2"/>
        <v>128.17104345779745</v>
      </c>
      <c r="E37" s="35">
        <v>108.18</v>
      </c>
      <c r="F37" s="28">
        <v>129.52072820426599</v>
      </c>
      <c r="G37" s="2">
        <f t="shared" si="5"/>
        <v>100.5557521377503</v>
      </c>
      <c r="H37" s="23">
        <f t="shared" si="4"/>
        <v>6.8551178518264777</v>
      </c>
      <c r="J37" s="41"/>
      <c r="K37" s="23"/>
    </row>
    <row r="38" spans="1:11" x14ac:dyDescent="0.3">
      <c r="A38" s="18">
        <v>41244</v>
      </c>
      <c r="B38" s="1">
        <v>0.84</v>
      </c>
      <c r="C38" s="2">
        <f t="shared" si="0"/>
        <v>100.84</v>
      </c>
      <c r="D38" s="21">
        <f t="shared" si="2"/>
        <v>129.24768022284294</v>
      </c>
      <c r="E38" s="35">
        <v>108.75</v>
      </c>
      <c r="F38" s="28">
        <v>130.10549762070301</v>
      </c>
      <c r="G38" s="2">
        <f t="shared" si="5"/>
        <v>100.45148712838827</v>
      </c>
      <c r="H38" s="23">
        <f t="shared" si="4"/>
        <v>6.8990870171538035</v>
      </c>
      <c r="J38" s="41"/>
      <c r="K38" s="23"/>
    </row>
    <row r="39" spans="1:11" x14ac:dyDescent="0.3">
      <c r="A39" s="18">
        <v>41275</v>
      </c>
      <c r="B39" s="1">
        <v>0.74</v>
      </c>
      <c r="C39" s="2">
        <f t="shared" si="0"/>
        <v>100.74</v>
      </c>
      <c r="D39" s="21">
        <f t="shared" si="2"/>
        <v>130.20411305649196</v>
      </c>
      <c r="E39" s="35">
        <v>109.19</v>
      </c>
      <c r="F39" s="28">
        <v>130.47469081788199</v>
      </c>
      <c r="G39" s="2">
        <f t="shared" si="5"/>
        <v>100.28376448645953</v>
      </c>
      <c r="H39" s="23">
        <f t="shared" si="4"/>
        <v>5.2880093277828735</v>
      </c>
      <c r="J39" s="41"/>
      <c r="K39" s="23"/>
    </row>
    <row r="40" spans="1:11" x14ac:dyDescent="0.3">
      <c r="A40" s="18">
        <v>41306</v>
      </c>
      <c r="B40" s="1">
        <v>0.51</v>
      </c>
      <c r="C40" s="2">
        <f t="shared" si="0"/>
        <v>100.51</v>
      </c>
      <c r="D40" s="21">
        <f t="shared" si="2"/>
        <v>130.86815403308009</v>
      </c>
      <c r="E40" s="35">
        <v>108.64</v>
      </c>
      <c r="F40" s="28">
        <v>130.87912468946601</v>
      </c>
      <c r="G40" s="2">
        <f t="shared" si="5"/>
        <v>100.30997112853753</v>
      </c>
      <c r="H40" s="23">
        <f t="shared" si="4"/>
        <v>4.2619447180854735</v>
      </c>
      <c r="J40" s="41"/>
      <c r="K40" s="23"/>
    </row>
    <row r="41" spans="1:11" x14ac:dyDescent="0.3">
      <c r="A41" s="18">
        <v>41334</v>
      </c>
      <c r="B41" s="1">
        <v>0.5</v>
      </c>
      <c r="C41" s="2">
        <f t="shared" si="0"/>
        <v>100.5</v>
      </c>
      <c r="D41" s="21">
        <f t="shared" si="2"/>
        <v>131.52249480324548</v>
      </c>
      <c r="E41" s="35">
        <v>108.45</v>
      </c>
      <c r="F41" s="28">
        <v>132.27522661818799</v>
      </c>
      <c r="G41" s="2">
        <f t="shared" si="5"/>
        <v>101.06671093043637</v>
      </c>
      <c r="H41" s="23">
        <f t="shared" si="4"/>
        <v>6.8477493291579492</v>
      </c>
      <c r="J41" s="41"/>
      <c r="K41" s="23"/>
    </row>
    <row r="42" spans="1:11" x14ac:dyDescent="0.3">
      <c r="A42" s="18">
        <v>41365</v>
      </c>
      <c r="B42" s="1">
        <v>1.25</v>
      </c>
      <c r="C42" s="2">
        <f t="shared" si="0"/>
        <v>101.25</v>
      </c>
      <c r="D42" s="21">
        <f t="shared" si="2"/>
        <v>133.16652598828605</v>
      </c>
      <c r="E42" s="35">
        <v>109.34</v>
      </c>
      <c r="F42" s="28">
        <v>134.15195143177201</v>
      </c>
      <c r="G42" s="2">
        <f t="shared" si="5"/>
        <v>101.41880294713172</v>
      </c>
      <c r="H42" s="23">
        <f t="shared" si="4"/>
        <v>11.773199953492465</v>
      </c>
      <c r="J42" s="41"/>
      <c r="K42" s="23"/>
    </row>
    <row r="43" spans="1:11" x14ac:dyDescent="0.3">
      <c r="A43" s="18">
        <v>41395</v>
      </c>
      <c r="B43" s="1">
        <v>1.44</v>
      </c>
      <c r="C43" s="2">
        <f t="shared" si="0"/>
        <v>101.44</v>
      </c>
      <c r="D43" s="21">
        <f t="shared" si="2"/>
        <v>135.08412396251737</v>
      </c>
      <c r="E43" s="35">
        <v>109.47</v>
      </c>
      <c r="F43" s="28">
        <v>134.86294841517301</v>
      </c>
      <c r="G43" s="2">
        <f t="shared" si="5"/>
        <v>100.52999376886635</v>
      </c>
      <c r="H43" s="23">
        <f t="shared" si="4"/>
        <v>12.751728058360655</v>
      </c>
      <c r="J43" s="41"/>
      <c r="K43" s="23"/>
    </row>
    <row r="44" spans="1:11" x14ac:dyDescent="0.3">
      <c r="A44" s="18">
        <v>41426</v>
      </c>
      <c r="B44" s="1">
        <v>0.09</v>
      </c>
      <c r="C44" s="2">
        <f t="shared" si="0"/>
        <v>100.09</v>
      </c>
      <c r="D44" s="21">
        <f t="shared" si="2"/>
        <v>135.20569967408363</v>
      </c>
      <c r="E44" s="35">
        <v>108.97</v>
      </c>
      <c r="F44" s="28">
        <v>136.09483774443601</v>
      </c>
      <c r="G44" s="2">
        <f t="shared" si="5"/>
        <v>100.91343793364997</v>
      </c>
      <c r="H44" s="23">
        <f t="shared" si="4"/>
        <v>12.069236352220827</v>
      </c>
      <c r="J44" s="41"/>
      <c r="K44" s="23"/>
    </row>
    <row r="45" spans="1:11" x14ac:dyDescent="0.3">
      <c r="A45" s="18">
        <v>41456</v>
      </c>
      <c r="B45" s="1">
        <v>0.57999999999999996</v>
      </c>
      <c r="C45" s="2">
        <f t="shared" si="0"/>
        <v>100.58</v>
      </c>
      <c r="D45" s="21">
        <f t="shared" si="2"/>
        <v>135.98989273219331</v>
      </c>
      <c r="E45" s="35">
        <v>107.87</v>
      </c>
      <c r="F45" s="28">
        <v>136.33298386876001</v>
      </c>
      <c r="G45" s="2">
        <f t="shared" si="5"/>
        <v>100.17498542066025</v>
      </c>
      <c r="H45" s="23">
        <f t="shared" si="4"/>
        <v>6.6692449383960621</v>
      </c>
      <c r="J45" s="41"/>
      <c r="K45" s="23"/>
    </row>
    <row r="46" spans="1:11" x14ac:dyDescent="0.3">
      <c r="A46" s="18">
        <v>41487</v>
      </c>
      <c r="B46" s="1">
        <v>-0.38</v>
      </c>
      <c r="C46" s="2">
        <f t="shared" si="0"/>
        <v>99.62</v>
      </c>
      <c r="D46" s="21">
        <f t="shared" si="2"/>
        <v>135.47313113981099</v>
      </c>
      <c r="E46" s="35">
        <v>107.38</v>
      </c>
      <c r="F46" s="28">
        <v>136.47558541789499</v>
      </c>
      <c r="G46" s="2">
        <f t="shared" si="5"/>
        <v>100.10459798141898</v>
      </c>
      <c r="H46" s="23">
        <f t="shared" si="4"/>
        <v>4.8778567060697782</v>
      </c>
      <c r="J46" s="41"/>
      <c r="K46" s="23"/>
    </row>
    <row r="47" spans="1:11" x14ac:dyDescent="0.3">
      <c r="A47" s="18">
        <v>41518</v>
      </c>
      <c r="B47" s="1">
        <v>0.17</v>
      </c>
      <c r="C47" s="2">
        <f t="shared" si="0"/>
        <v>100.17</v>
      </c>
      <c r="D47" s="21">
        <f t="shared" si="2"/>
        <v>135.70343546274867</v>
      </c>
      <c r="E47" s="35">
        <v>107.11</v>
      </c>
      <c r="F47" s="28">
        <v>137.82511749130299</v>
      </c>
      <c r="G47" s="2">
        <f t="shared" si="5"/>
        <v>100.98884505186452</v>
      </c>
      <c r="H47" s="23">
        <f t="shared" si="4"/>
        <v>5.1933793947400204</v>
      </c>
      <c r="J47" s="41"/>
      <c r="K47" s="23"/>
    </row>
    <row r="48" spans="1:11" x14ac:dyDescent="0.3">
      <c r="A48" s="18">
        <v>41548</v>
      </c>
      <c r="B48" s="1">
        <v>1.03</v>
      </c>
      <c r="C48" s="2">
        <f t="shared" si="0"/>
        <v>101.03</v>
      </c>
      <c r="D48" s="21">
        <f t="shared" si="2"/>
        <v>137.10118084801499</v>
      </c>
      <c r="E48" s="35">
        <v>107.71</v>
      </c>
      <c r="F48" s="28">
        <v>138.63895291047601</v>
      </c>
      <c r="G48" s="2">
        <f t="shared" si="5"/>
        <v>100.59048411057903</v>
      </c>
      <c r="H48" s="23">
        <f t="shared" si="4"/>
        <v>6.9475936459542709</v>
      </c>
      <c r="J48" s="41"/>
      <c r="K48" s="23"/>
    </row>
    <row r="49" spans="1:11" x14ac:dyDescent="0.3">
      <c r="A49" s="18">
        <v>41579</v>
      </c>
      <c r="B49" s="1">
        <v>0.63</v>
      </c>
      <c r="C49" s="2">
        <f t="shared" si="0"/>
        <v>100.63</v>
      </c>
      <c r="D49" s="21">
        <f t="shared" si="2"/>
        <v>137.96491828735748</v>
      </c>
      <c r="E49" s="35">
        <v>107.64</v>
      </c>
      <c r="F49" s="28">
        <v>139.20634343819299</v>
      </c>
      <c r="G49" s="2">
        <f t="shared" si="5"/>
        <v>100.40925765508584</v>
      </c>
      <c r="H49" s="23">
        <f t="shared" si="4"/>
        <v>8.2508464339457106</v>
      </c>
      <c r="J49" s="41"/>
      <c r="K49" s="23"/>
    </row>
    <row r="50" spans="1:11" x14ac:dyDescent="0.3">
      <c r="A50" s="18">
        <v>41609</v>
      </c>
      <c r="B50" s="1">
        <v>0.7</v>
      </c>
      <c r="C50" s="2">
        <f t="shared" si="0"/>
        <v>100.7</v>
      </c>
      <c r="D50" s="21">
        <f t="shared" si="2"/>
        <v>138.93067271536898</v>
      </c>
      <c r="E50" s="35">
        <v>107.49</v>
      </c>
      <c r="F50" s="28">
        <v>139.046275077763</v>
      </c>
      <c r="G50" s="2">
        <f t="shared" si="5"/>
        <v>99.885013601768037</v>
      </c>
      <c r="H50" s="23">
        <f t="shared" si="4"/>
        <v>3.5969943072272628</v>
      </c>
      <c r="J50" s="41"/>
      <c r="K50" s="23"/>
    </row>
    <row r="51" spans="1:11" x14ac:dyDescent="0.3">
      <c r="A51" s="18">
        <v>41640</v>
      </c>
      <c r="B51" s="1">
        <v>0.16</v>
      </c>
      <c r="C51" s="2">
        <f t="shared" si="0"/>
        <v>100.16</v>
      </c>
      <c r="D51" s="21">
        <f t="shared" si="2"/>
        <v>139.15296179171358</v>
      </c>
      <c r="E51" s="35">
        <v>106.87</v>
      </c>
      <c r="F51" s="28">
        <v>139.59883666330899</v>
      </c>
      <c r="G51" s="2">
        <f t="shared" si="5"/>
        <v>100.3973940224123</v>
      </c>
      <c r="H51" s="23">
        <f t="shared" si="4"/>
        <v>2.8020148672317617</v>
      </c>
      <c r="J51" s="41"/>
      <c r="K51" s="23"/>
    </row>
    <row r="52" spans="1:11" x14ac:dyDescent="0.3">
      <c r="A52" s="18">
        <v>41671</v>
      </c>
      <c r="B52" s="1">
        <v>0.62</v>
      </c>
      <c r="C52" s="2">
        <f t="shared" si="0"/>
        <v>100.62</v>
      </c>
      <c r="D52" s="21">
        <f t="shared" si="2"/>
        <v>140.01571015482222</v>
      </c>
      <c r="E52" s="35">
        <v>106.99</v>
      </c>
      <c r="F52" s="28">
        <v>140.66487771896701</v>
      </c>
      <c r="G52" s="2">
        <f t="shared" si="5"/>
        <v>100.76364608841916</v>
      </c>
      <c r="H52" s="23">
        <f t="shared" si="4"/>
        <v>4.265398276888007</v>
      </c>
      <c r="J52" s="41"/>
      <c r="K52" s="23"/>
    </row>
    <row r="53" spans="1:11" x14ac:dyDescent="0.3">
      <c r="A53" s="18">
        <v>41699</v>
      </c>
      <c r="B53" s="1">
        <v>0.96</v>
      </c>
      <c r="C53" s="2">
        <f t="shared" si="0"/>
        <v>100.96</v>
      </c>
      <c r="D53" s="21">
        <f t="shared" si="2"/>
        <v>141.3598609723085</v>
      </c>
      <c r="E53" s="35">
        <v>107.48</v>
      </c>
      <c r="F53" s="28">
        <v>141.272204622293</v>
      </c>
      <c r="G53" s="2">
        <f t="shared" si="5"/>
        <v>100.43175447430409</v>
      </c>
      <c r="H53" s="23">
        <f t="shared" si="4"/>
        <v>6.5605568742656004</v>
      </c>
      <c r="J53" s="41"/>
      <c r="K53" s="23"/>
    </row>
    <row r="54" spans="1:11" x14ac:dyDescent="0.3">
      <c r="A54" s="18">
        <v>41730</v>
      </c>
      <c r="B54" s="1">
        <v>0.63</v>
      </c>
      <c r="C54" s="2">
        <f t="shared" si="0"/>
        <v>100.63</v>
      </c>
      <c r="D54" s="21">
        <f t="shared" si="2"/>
        <v>142.25042809643404</v>
      </c>
      <c r="E54" s="35">
        <v>106.82</v>
      </c>
      <c r="F54" s="28">
        <v>142.19678168344899</v>
      </c>
      <c r="G54" s="2">
        <f t="shared" si="5"/>
        <v>100.65446494845037</v>
      </c>
      <c r="H54" s="23">
        <f t="shared" si="4"/>
        <v>7.655639137693484</v>
      </c>
      <c r="J54" s="41"/>
      <c r="K54" s="23"/>
    </row>
    <row r="55" spans="1:11" x14ac:dyDescent="0.3">
      <c r="A55" s="18">
        <v>41760</v>
      </c>
      <c r="B55" s="1">
        <v>0.65</v>
      </c>
      <c r="C55" s="2">
        <f t="shared" si="0"/>
        <v>100.65</v>
      </c>
      <c r="D55" s="21">
        <f t="shared" si="2"/>
        <v>143.17505587906086</v>
      </c>
      <c r="E55" s="35">
        <v>106</v>
      </c>
      <c r="F55" s="28">
        <v>142.83170620098801</v>
      </c>
      <c r="G55" s="2">
        <f t="shared" si="5"/>
        <v>100.44651117277215</v>
      </c>
      <c r="H55" s="23">
        <f t="shared" si="4"/>
        <v>6.3061696542493308</v>
      </c>
      <c r="J55" s="41"/>
      <c r="K55" s="23"/>
    </row>
    <row r="56" spans="1:11" x14ac:dyDescent="0.3">
      <c r="A56" s="18">
        <v>41791</v>
      </c>
      <c r="B56" s="1">
        <v>0.01</v>
      </c>
      <c r="C56" s="2">
        <f t="shared" si="0"/>
        <v>100.01</v>
      </c>
      <c r="D56" s="21">
        <f t="shared" si="2"/>
        <v>143.18937338464877</v>
      </c>
      <c r="E56" s="35">
        <v>105.92</v>
      </c>
      <c r="F56" s="28">
        <v>143.288461622027</v>
      </c>
      <c r="G56" s="2">
        <f t="shared" si="5"/>
        <v>100.31978573468572</v>
      </c>
      <c r="H56" s="23">
        <f t="shared" si="4"/>
        <v>5.8334373654585363</v>
      </c>
      <c r="J56" s="41"/>
      <c r="K56" s="23"/>
    </row>
    <row r="57" spans="1:11" x14ac:dyDescent="0.3">
      <c r="A57" s="18">
        <v>41821</v>
      </c>
      <c r="B57" s="1">
        <v>-0.02</v>
      </c>
      <c r="C57" s="2">
        <f t="shared" si="0"/>
        <v>99.98</v>
      </c>
      <c r="D57" s="21">
        <f t="shared" si="2"/>
        <v>143.16073550997186</v>
      </c>
      <c r="E57" s="35">
        <v>105.28</v>
      </c>
      <c r="F57" s="28">
        <v>144.67725602058999</v>
      </c>
      <c r="G57" s="2">
        <f t="shared" si="5"/>
        <v>100.96922975014304</v>
      </c>
      <c r="H57" s="23">
        <f t="shared" si="4"/>
        <v>7.1673059030993187</v>
      </c>
      <c r="J57" s="41"/>
      <c r="K57" s="23"/>
    </row>
    <row r="58" spans="1:11" x14ac:dyDescent="0.3">
      <c r="A58" s="18">
        <v>41852</v>
      </c>
      <c r="B58" s="1">
        <v>0.42</v>
      </c>
      <c r="C58" s="2">
        <f t="shared" si="0"/>
        <v>100.42</v>
      </c>
      <c r="D58" s="21">
        <f t="shared" si="2"/>
        <v>143.76201059911375</v>
      </c>
      <c r="E58" s="35">
        <v>106.13</v>
      </c>
      <c r="F58" s="28">
        <v>146.37602941320401</v>
      </c>
      <c r="G58" s="2">
        <f t="shared" si="5"/>
        <v>101.17418137400411</v>
      </c>
      <c r="H58" s="23">
        <f t="shared" si="4"/>
        <v>10.310131009219219</v>
      </c>
      <c r="J58" s="41"/>
      <c r="K58" s="23"/>
    </row>
    <row r="59" spans="1:11" x14ac:dyDescent="0.3">
      <c r="A59" s="18">
        <v>41883</v>
      </c>
      <c r="B59" s="1">
        <v>1.22</v>
      </c>
      <c r="C59" s="2">
        <f t="shared" si="0"/>
        <v>101.22</v>
      </c>
      <c r="D59" s="21">
        <f t="shared" si="2"/>
        <v>145.51590712842292</v>
      </c>
      <c r="E59" s="35">
        <v>107.23</v>
      </c>
      <c r="F59" s="28">
        <v>147.17263385412599</v>
      </c>
      <c r="G59" s="2">
        <f t="shared" si="5"/>
        <v>100.54421782317462</v>
      </c>
      <c r="H59" s="23">
        <f t="shared" si="4"/>
        <v>11.296370108690823</v>
      </c>
      <c r="J59" s="41"/>
      <c r="K59" s="23"/>
    </row>
    <row r="60" spans="1:11" x14ac:dyDescent="0.3">
      <c r="A60" s="18">
        <v>41913</v>
      </c>
      <c r="B60" s="1">
        <v>0.6</v>
      </c>
      <c r="C60" s="2">
        <f t="shared" si="0"/>
        <v>100.6</v>
      </c>
      <c r="D60" s="21">
        <f t="shared" si="2"/>
        <v>146.38900257119346</v>
      </c>
      <c r="E60" s="35">
        <v>106.78</v>
      </c>
      <c r="F60" s="28">
        <v>148.55476757442901</v>
      </c>
      <c r="G60" s="2">
        <f t="shared" si="5"/>
        <v>100.93912413205362</v>
      </c>
      <c r="H60" s="23">
        <f t="shared" si="4"/>
        <v>11.163606954416892</v>
      </c>
      <c r="J60" s="41"/>
      <c r="K60" s="23"/>
    </row>
    <row r="61" spans="1:11" x14ac:dyDescent="0.3">
      <c r="A61" s="18">
        <v>41944</v>
      </c>
      <c r="B61" s="1">
        <v>0.98</v>
      </c>
      <c r="C61" s="2">
        <f t="shared" si="0"/>
        <v>100.98</v>
      </c>
      <c r="D61" s="21">
        <f t="shared" si="2"/>
        <v>147.82361479639115</v>
      </c>
      <c r="E61" s="35">
        <v>107.15</v>
      </c>
      <c r="F61" s="28">
        <v>150.98827521315999</v>
      </c>
      <c r="G61" s="2">
        <f t="shared" si="5"/>
        <v>101.63812153488226</v>
      </c>
      <c r="H61" s="23">
        <f t="shared" si="4"/>
        <v>13.225751603030403</v>
      </c>
      <c r="J61" s="41"/>
      <c r="K61" s="23"/>
    </row>
    <row r="62" spans="1:11" x14ac:dyDescent="0.3">
      <c r="A62" s="18">
        <v>41974</v>
      </c>
      <c r="B62" s="1">
        <v>1.94</v>
      </c>
      <c r="C62" s="2">
        <f t="shared" si="0"/>
        <v>101.94</v>
      </c>
      <c r="D62" s="21">
        <f t="shared" si="2"/>
        <v>150.69139292344116</v>
      </c>
      <c r="E62" s="35">
        <v>108.46000000000001</v>
      </c>
      <c r="F62" s="28">
        <v>156.75817011850401</v>
      </c>
      <c r="G62" s="2">
        <f t="shared" si="5"/>
        <v>103.82141917787872</v>
      </c>
      <c r="H62" s="23">
        <f t="shared" si="4"/>
        <v>28.821207384657839</v>
      </c>
      <c r="J62" s="41"/>
      <c r="K62" s="23"/>
    </row>
    <row r="63" spans="1:11" x14ac:dyDescent="0.3">
      <c r="A63" s="18">
        <v>42005</v>
      </c>
      <c r="B63" s="1">
        <v>4.1100000000000003</v>
      </c>
      <c r="C63" s="2">
        <f t="shared" si="0"/>
        <v>104.11</v>
      </c>
      <c r="D63" s="21">
        <f t="shared" si="2"/>
        <v>156.8848091725946</v>
      </c>
      <c r="E63" s="35">
        <v>112.74</v>
      </c>
      <c r="F63" s="28">
        <v>161.11761362559201</v>
      </c>
      <c r="G63" s="2">
        <f t="shared" si="5"/>
        <v>102.7809992319969</v>
      </c>
      <c r="H63" s="23">
        <f t="shared" si="4"/>
        <v>38.427388077517321</v>
      </c>
      <c r="J63" s="41"/>
      <c r="K63" s="23"/>
    </row>
    <row r="64" spans="1:11" x14ac:dyDescent="0.3">
      <c r="A64" s="18">
        <v>42036</v>
      </c>
      <c r="B64" s="1">
        <v>3.01</v>
      </c>
      <c r="C64" s="2">
        <f t="shared" si="0"/>
        <v>103.01</v>
      </c>
      <c r="D64" s="21">
        <f t="shared" si="2"/>
        <v>161.60704192868971</v>
      </c>
      <c r="E64" s="35">
        <v>115.41</v>
      </c>
      <c r="F64" s="28">
        <v>163.89281103264901</v>
      </c>
      <c r="G64" s="2">
        <f t="shared" si="5"/>
        <v>101.72246680211268</v>
      </c>
      <c r="H64" s="23">
        <f t="shared" si="4"/>
        <v>38.882615007161007</v>
      </c>
      <c r="J64" s="41"/>
      <c r="K64" s="23"/>
    </row>
    <row r="65" spans="1:11" x14ac:dyDescent="0.3">
      <c r="A65" s="18">
        <v>42064</v>
      </c>
      <c r="B65" s="1">
        <v>1.92</v>
      </c>
      <c r="C65" s="2">
        <f t="shared" si="0"/>
        <v>101.92</v>
      </c>
      <c r="D65" s="21">
        <f t="shared" si="2"/>
        <v>164.70989713372055</v>
      </c>
      <c r="E65" s="35">
        <v>116.51</v>
      </c>
      <c r="F65" s="28">
        <v>165.56976305565499</v>
      </c>
      <c r="G65" s="2">
        <f t="shared" si="5"/>
        <v>101.02320047623805</v>
      </c>
      <c r="H65" s="23">
        <f t="shared" si="4"/>
        <v>24.489981747540909</v>
      </c>
      <c r="J65" s="41"/>
      <c r="K65" s="23"/>
    </row>
    <row r="66" spans="1:11" x14ac:dyDescent="0.3">
      <c r="A66" s="18">
        <v>42095</v>
      </c>
      <c r="B66" s="1">
        <v>1.24</v>
      </c>
      <c r="C66" s="2">
        <f t="shared" si="0"/>
        <v>101.24</v>
      </c>
      <c r="D66" s="21">
        <f t="shared" si="2"/>
        <v>166.75229985817867</v>
      </c>
      <c r="E66" s="35">
        <v>117.22</v>
      </c>
      <c r="F66" s="28">
        <v>166.234925782537</v>
      </c>
      <c r="G66" s="2">
        <f t="shared" si="5"/>
        <v>100.40174166744349</v>
      </c>
      <c r="H66" s="23">
        <f t="shared" si="4"/>
        <v>13.342104053483368</v>
      </c>
      <c r="J66" s="41"/>
      <c r="K66" s="23"/>
    </row>
    <row r="67" spans="1:11" x14ac:dyDescent="0.3">
      <c r="A67" s="18">
        <v>42125</v>
      </c>
      <c r="B67" s="1">
        <v>0.37</v>
      </c>
      <c r="C67" s="2">
        <f t="shared" ref="C67:C130" si="6">B67+100</f>
        <v>100.37</v>
      </c>
      <c r="D67" s="21">
        <f t="shared" si="2"/>
        <v>167.36928336765396</v>
      </c>
      <c r="E67" s="35">
        <v>116.89</v>
      </c>
      <c r="F67" s="28">
        <v>166.47208226394099</v>
      </c>
      <c r="G67" s="2">
        <f t="shared" ref="G67:G98" si="7">F67/F66*100</f>
        <v>100.14266345070844</v>
      </c>
      <c r="H67" s="23">
        <f t="shared" si="4"/>
        <v>6.4538068345386392</v>
      </c>
      <c r="J67" s="41"/>
      <c r="K67" s="23"/>
    </row>
    <row r="68" spans="1:11" x14ac:dyDescent="0.3">
      <c r="A68" s="18">
        <v>42156</v>
      </c>
      <c r="B68" s="1">
        <v>-0.28000000000000003</v>
      </c>
      <c r="C68" s="2">
        <f t="shared" si="6"/>
        <v>99.72</v>
      </c>
      <c r="D68" s="21">
        <f t="shared" ref="D68:D131" si="8">C68*D67/100</f>
        <v>166.90064937422451</v>
      </c>
      <c r="E68" s="35">
        <v>116.55</v>
      </c>
      <c r="F68" s="28">
        <v>167.59176969118599</v>
      </c>
      <c r="G68" s="2">
        <f t="shared" si="7"/>
        <v>100.67259771849896</v>
      </c>
      <c r="H68" s="23">
        <f t="shared" si="4"/>
        <v>4.9781072413007763</v>
      </c>
      <c r="J68" s="41"/>
      <c r="K68" s="23"/>
    </row>
    <row r="69" spans="1:11" x14ac:dyDescent="0.3">
      <c r="A69" s="18">
        <v>42186</v>
      </c>
      <c r="B69" s="1">
        <v>0.33</v>
      </c>
      <c r="C69" s="2">
        <f t="shared" si="6"/>
        <v>100.33</v>
      </c>
      <c r="D69" s="21">
        <f t="shared" si="8"/>
        <v>167.45142151715947</v>
      </c>
      <c r="E69" s="35">
        <v>116.96000000000001</v>
      </c>
      <c r="F69" s="28">
        <v>169.238821615387</v>
      </c>
      <c r="G69" s="2">
        <f t="shared" si="7"/>
        <v>100.98277613944644</v>
      </c>
      <c r="H69" s="23">
        <f t="shared" si="4"/>
        <v>7.4340323284893657</v>
      </c>
      <c r="J69" s="41"/>
      <c r="K69" s="23"/>
    </row>
    <row r="70" spans="1:11" x14ac:dyDescent="0.3">
      <c r="A70" s="18">
        <v>42217</v>
      </c>
      <c r="B70" s="1">
        <v>0.44</v>
      </c>
      <c r="C70" s="2">
        <f t="shared" si="6"/>
        <v>100.44</v>
      </c>
      <c r="D70" s="21">
        <f t="shared" si="8"/>
        <v>168.18820777183498</v>
      </c>
      <c r="E70" s="35">
        <v>116.99</v>
      </c>
      <c r="F70" s="28">
        <v>170.89756458324999</v>
      </c>
      <c r="G70" s="2">
        <f t="shared" si="7"/>
        <v>100.98011966287066</v>
      </c>
      <c r="H70" s="23">
        <f t="shared" ref="H70:H133" si="9">AVERAGE(G68:G70)^12/100^11-100</f>
        <v>11.066549417182259</v>
      </c>
      <c r="J70" s="41"/>
      <c r="K70" s="23"/>
    </row>
    <row r="71" spans="1:11" x14ac:dyDescent="0.3">
      <c r="A71" s="18">
        <v>42248</v>
      </c>
      <c r="B71" s="1">
        <v>1</v>
      </c>
      <c r="C71" s="2">
        <f t="shared" si="6"/>
        <v>101</v>
      </c>
      <c r="D71" s="21">
        <f t="shared" si="8"/>
        <v>169.87008984955332</v>
      </c>
      <c r="E71" s="35">
        <v>116.74</v>
      </c>
      <c r="F71" s="28">
        <v>173.01264511799801</v>
      </c>
      <c r="G71" s="2">
        <f t="shared" si="7"/>
        <v>101.23763058877159</v>
      </c>
      <c r="H71" s="23">
        <f t="shared" si="9"/>
        <v>13.580651301992219</v>
      </c>
      <c r="J71" s="41"/>
      <c r="K71" s="23"/>
    </row>
    <row r="72" spans="1:11" x14ac:dyDescent="0.3">
      <c r="A72" s="18">
        <v>42278</v>
      </c>
      <c r="B72" s="1">
        <v>1.31</v>
      </c>
      <c r="C72" s="2">
        <f t="shared" si="6"/>
        <v>101.31</v>
      </c>
      <c r="D72" s="21">
        <f t="shared" si="8"/>
        <v>172.09538802658247</v>
      </c>
      <c r="E72" s="35">
        <v>117.57</v>
      </c>
      <c r="F72" s="28">
        <v>173.49241774603499</v>
      </c>
      <c r="G72" s="2">
        <f t="shared" si="7"/>
        <v>100.27730494942134</v>
      </c>
      <c r="H72" s="23">
        <f t="shared" si="9"/>
        <v>10.449638937537784</v>
      </c>
      <c r="J72" s="41"/>
      <c r="K72" s="23"/>
    </row>
    <row r="73" spans="1:11" x14ac:dyDescent="0.3">
      <c r="A73" s="18">
        <v>42309</v>
      </c>
      <c r="B73" s="1">
        <v>0.32</v>
      </c>
      <c r="C73" s="2">
        <f t="shared" si="6"/>
        <v>100.32</v>
      </c>
      <c r="D73" s="21">
        <f t="shared" si="8"/>
        <v>172.64609326826749</v>
      </c>
      <c r="E73" s="35">
        <v>116.81</v>
      </c>
      <c r="F73" s="28">
        <v>174.063482170139</v>
      </c>
      <c r="G73" s="2">
        <f t="shared" si="7"/>
        <v>100.3291581450781</v>
      </c>
      <c r="H73" s="23">
        <f t="shared" si="9"/>
        <v>7.630939263409104</v>
      </c>
      <c r="J73" s="41"/>
      <c r="K73" s="23"/>
    </row>
    <row r="74" spans="1:11" x14ac:dyDescent="0.3">
      <c r="A74" s="18">
        <v>42339</v>
      </c>
      <c r="B74" s="1">
        <v>0.62</v>
      </c>
      <c r="C74" s="2">
        <f t="shared" si="6"/>
        <v>100.62</v>
      </c>
      <c r="D74" s="21">
        <f t="shared" si="8"/>
        <v>173.71649904653077</v>
      </c>
      <c r="E74" s="35">
        <v>115.3</v>
      </c>
      <c r="F74" s="28">
        <v>174.94445933207399</v>
      </c>
      <c r="G74" s="2">
        <f t="shared" si="7"/>
        <v>100.50612405942441</v>
      </c>
      <c r="H74" s="23">
        <f t="shared" si="9"/>
        <v>4.5422558910619699</v>
      </c>
      <c r="J74" s="41"/>
      <c r="K74" s="23"/>
    </row>
    <row r="75" spans="1:11" x14ac:dyDescent="0.3">
      <c r="A75" s="18">
        <v>42370</v>
      </c>
      <c r="B75" s="1">
        <v>0.79</v>
      </c>
      <c r="C75" s="2">
        <f t="shared" si="6"/>
        <v>100.79</v>
      </c>
      <c r="D75" s="21">
        <f t="shared" si="8"/>
        <v>175.0888593889984</v>
      </c>
      <c r="E75" s="35">
        <v>111.62</v>
      </c>
      <c r="F75" s="28">
        <v>175.63774941000401</v>
      </c>
      <c r="G75" s="2">
        <f t="shared" si="7"/>
        <v>100.39629153193931</v>
      </c>
      <c r="H75" s="23">
        <f t="shared" si="9"/>
        <v>5.0390612709146012</v>
      </c>
      <c r="J75" s="1">
        <v>100.31</v>
      </c>
      <c r="K75" s="23"/>
    </row>
    <row r="76" spans="1:11" x14ac:dyDescent="0.3">
      <c r="A76" s="18">
        <v>42401</v>
      </c>
      <c r="B76" s="1">
        <v>0.62</v>
      </c>
      <c r="C76" s="2">
        <f t="shared" si="6"/>
        <v>100.62</v>
      </c>
      <c r="D76" s="21">
        <f t="shared" si="8"/>
        <v>176.1744103172102</v>
      </c>
      <c r="E76" s="35">
        <v>109.03</v>
      </c>
      <c r="F76" s="28">
        <v>175.76371094550299</v>
      </c>
      <c r="G76" s="2">
        <f t="shared" si="7"/>
        <v>100.07171666451097</v>
      </c>
      <c r="H76" s="23">
        <f t="shared" si="9"/>
        <v>3.9668762270324009</v>
      </c>
      <c r="J76" s="1">
        <v>100.27</v>
      </c>
      <c r="K76" s="23"/>
    </row>
    <row r="77" spans="1:11" x14ac:dyDescent="0.3">
      <c r="A77" s="18">
        <v>42430</v>
      </c>
      <c r="B77" s="1">
        <v>0.25</v>
      </c>
      <c r="C77" s="2">
        <f t="shared" si="6"/>
        <v>100.25</v>
      </c>
      <c r="D77" s="21">
        <f t="shared" si="8"/>
        <v>176.61484634300322</v>
      </c>
      <c r="E77" s="35">
        <v>107.24</v>
      </c>
      <c r="F77" s="28">
        <v>177.27678688087599</v>
      </c>
      <c r="G77" s="2">
        <f t="shared" si="7"/>
        <v>100.86085798213611</v>
      </c>
      <c r="H77" s="23">
        <f t="shared" si="9"/>
        <v>5.4468942285794242</v>
      </c>
      <c r="J77" s="1">
        <v>100.03</v>
      </c>
      <c r="K77" s="23">
        <f t="shared" ref="K77:K132" si="10">AVERAGE(J75:J77)^12/100^11-100</f>
        <v>2.4674731297088925</v>
      </c>
    </row>
    <row r="78" spans="1:11" x14ac:dyDescent="0.3">
      <c r="A78" s="18">
        <v>42461</v>
      </c>
      <c r="B78" s="1">
        <v>1.0900000000000001</v>
      </c>
      <c r="C78" s="2">
        <f t="shared" si="6"/>
        <v>101.09</v>
      </c>
      <c r="D78" s="21">
        <f t="shared" si="8"/>
        <v>178.53994816814196</v>
      </c>
      <c r="E78" s="35">
        <v>107.08</v>
      </c>
      <c r="F78" s="28">
        <v>177.73054742041199</v>
      </c>
      <c r="G78" s="2">
        <f t="shared" si="7"/>
        <v>100.25596162222917</v>
      </c>
      <c r="H78" s="23">
        <f t="shared" si="9"/>
        <v>4.8591174003382491</v>
      </c>
      <c r="J78" s="1">
        <v>101</v>
      </c>
      <c r="K78" s="23">
        <f t="shared" si="10"/>
        <v>5.3257410570540458</v>
      </c>
    </row>
    <row r="79" spans="1:11" x14ac:dyDescent="0.3">
      <c r="A79" s="18">
        <v>42491</v>
      </c>
      <c r="B79" s="1">
        <v>0.21</v>
      </c>
      <c r="C79" s="2">
        <f t="shared" si="6"/>
        <v>100.21</v>
      </c>
      <c r="D79" s="21">
        <f t="shared" si="8"/>
        <v>178.91488205929505</v>
      </c>
      <c r="E79" s="35">
        <v>106.91</v>
      </c>
      <c r="F79" s="28">
        <v>178.86087829592901</v>
      </c>
      <c r="G79" s="2">
        <f t="shared" si="7"/>
        <v>100.63598007878932</v>
      </c>
      <c r="H79" s="23">
        <f t="shared" si="9"/>
        <v>7.2409473426625937</v>
      </c>
      <c r="J79" s="1">
        <v>100.26</v>
      </c>
      <c r="K79" s="23">
        <f t="shared" si="10"/>
        <v>5.2838001940819908</v>
      </c>
    </row>
    <row r="80" spans="1:11" x14ac:dyDescent="0.3">
      <c r="A80" s="18">
        <v>42522</v>
      </c>
      <c r="B80" s="1">
        <v>0.24</v>
      </c>
      <c r="C80" s="2">
        <f t="shared" si="6"/>
        <v>100.24</v>
      </c>
      <c r="D80" s="21">
        <f t="shared" si="8"/>
        <v>179.34427777623736</v>
      </c>
      <c r="E80" s="35">
        <v>107.47</v>
      </c>
      <c r="F80" s="28">
        <v>180.56224918262899</v>
      </c>
      <c r="G80" s="2">
        <f t="shared" si="7"/>
        <v>100.95122583703578</v>
      </c>
      <c r="H80" s="23">
        <f t="shared" si="9"/>
        <v>7.6269764150584649</v>
      </c>
      <c r="J80" s="1">
        <v>100.43</v>
      </c>
      <c r="K80" s="23">
        <f t="shared" si="10"/>
        <v>6.9734305913094374</v>
      </c>
    </row>
    <row r="81" spans="1:11" x14ac:dyDescent="0.3">
      <c r="A81" s="18">
        <v>42552</v>
      </c>
      <c r="B81" s="1">
        <v>0.61</v>
      </c>
      <c r="C81" s="2">
        <f t="shared" si="6"/>
        <v>100.61</v>
      </c>
      <c r="D81" s="21">
        <f t="shared" si="8"/>
        <v>180.43827787067238</v>
      </c>
      <c r="E81" s="35">
        <v>107.77</v>
      </c>
      <c r="F81" s="28">
        <v>181.701274581295</v>
      </c>
      <c r="G81" s="2">
        <f t="shared" si="7"/>
        <v>100.63082145012159</v>
      </c>
      <c r="H81" s="23">
        <f t="shared" si="9"/>
        <v>9.2419243154177053</v>
      </c>
      <c r="J81" s="1">
        <v>101.03</v>
      </c>
      <c r="K81" s="23">
        <f t="shared" si="10"/>
        <v>7.1011494553265067</v>
      </c>
    </row>
    <row r="82" spans="1:11" x14ac:dyDescent="0.3">
      <c r="A82" s="18">
        <v>42583</v>
      </c>
      <c r="B82" s="1">
        <v>0.09</v>
      </c>
      <c r="C82" s="2">
        <f t="shared" si="6"/>
        <v>100.09</v>
      </c>
      <c r="D82" s="21">
        <f t="shared" si="8"/>
        <v>180.60067232075599</v>
      </c>
      <c r="E82" s="35">
        <v>107.39</v>
      </c>
      <c r="F82" s="28">
        <v>181.486526834415</v>
      </c>
      <c r="G82" s="2">
        <f t="shared" si="7"/>
        <v>99.881812746016863</v>
      </c>
      <c r="H82" s="23">
        <f t="shared" si="9"/>
        <v>6.0151693835260289</v>
      </c>
      <c r="J82" s="1">
        <v>100.56</v>
      </c>
      <c r="K82" s="23">
        <f t="shared" si="10"/>
        <v>8.3860482222545016</v>
      </c>
    </row>
    <row r="83" spans="1:11" x14ac:dyDescent="0.3">
      <c r="A83" s="18">
        <v>42614</v>
      </c>
      <c r="B83" s="1">
        <v>-0.13</v>
      </c>
      <c r="C83" s="2">
        <f t="shared" si="6"/>
        <v>99.87</v>
      </c>
      <c r="D83" s="21">
        <f t="shared" si="8"/>
        <v>180.365891446739</v>
      </c>
      <c r="E83" s="35">
        <v>106.18</v>
      </c>
      <c r="F83" s="28">
        <v>182.43603333230499</v>
      </c>
      <c r="G83" s="2">
        <f t="shared" si="7"/>
        <v>100.52318291305244</v>
      </c>
      <c r="H83" s="23">
        <f t="shared" si="9"/>
        <v>4.2228616378138355</v>
      </c>
      <c r="J83" s="1">
        <v>100.24</v>
      </c>
      <c r="K83" s="23">
        <f t="shared" si="10"/>
        <v>7.5706487926187123</v>
      </c>
    </row>
    <row r="84" spans="1:11" x14ac:dyDescent="0.3">
      <c r="A84" s="18">
        <v>42644</v>
      </c>
      <c r="B84" s="1">
        <v>0.6</v>
      </c>
      <c r="C84" s="2">
        <f t="shared" si="6"/>
        <v>100.6</v>
      </c>
      <c r="D84" s="21">
        <f t="shared" si="8"/>
        <v>181.44808679541944</v>
      </c>
      <c r="E84" s="35">
        <v>105.43</v>
      </c>
      <c r="F84" s="28">
        <v>182.866921685406</v>
      </c>
      <c r="G84" s="2">
        <f t="shared" si="7"/>
        <v>100.23618599090902</v>
      </c>
      <c r="H84" s="23">
        <f t="shared" si="9"/>
        <v>2.5950907737154552</v>
      </c>
      <c r="J84" s="1">
        <v>100.56</v>
      </c>
      <c r="K84" s="23">
        <f t="shared" si="10"/>
        <v>5.5777080228274372</v>
      </c>
    </row>
    <row r="85" spans="1:11" x14ac:dyDescent="0.3">
      <c r="A85" s="18">
        <v>42675</v>
      </c>
      <c r="B85" s="1">
        <v>0.28999999999999998</v>
      </c>
      <c r="C85" s="2">
        <f t="shared" si="6"/>
        <v>100.29</v>
      </c>
      <c r="D85" s="21">
        <f t="shared" si="8"/>
        <v>181.97428624712617</v>
      </c>
      <c r="E85" s="35">
        <v>105.39</v>
      </c>
      <c r="F85" s="28">
        <v>184.77573497197099</v>
      </c>
      <c r="G85" s="2">
        <f t="shared" si="7"/>
        <v>101.04382644437402</v>
      </c>
      <c r="H85" s="23">
        <f t="shared" si="9"/>
        <v>7.456068300632694</v>
      </c>
      <c r="J85" s="1">
        <v>100.16</v>
      </c>
      <c r="K85" s="23">
        <f t="shared" si="10"/>
        <v>3.9083101131258928</v>
      </c>
    </row>
    <row r="86" spans="1:11" x14ac:dyDescent="0.3">
      <c r="A86" s="18">
        <v>42705</v>
      </c>
      <c r="B86" s="1">
        <v>1.33</v>
      </c>
      <c r="C86" s="2">
        <f t="shared" si="6"/>
        <v>101.33</v>
      </c>
      <c r="D86" s="21">
        <f t="shared" si="8"/>
        <v>184.39454425421297</v>
      </c>
      <c r="E86" s="35">
        <v>106.13</v>
      </c>
      <c r="F86" s="28">
        <v>185.10631384513499</v>
      </c>
      <c r="G86" s="2">
        <f t="shared" si="7"/>
        <v>100.17890816303026</v>
      </c>
      <c r="H86" s="23">
        <f t="shared" si="9"/>
        <v>5.9943267723036939</v>
      </c>
      <c r="J86" s="1">
        <v>101.04</v>
      </c>
      <c r="K86" s="23">
        <f t="shared" si="10"/>
        <v>7.2716587122557854</v>
      </c>
    </row>
    <row r="87" spans="1:11" x14ac:dyDescent="0.3">
      <c r="A87" s="18">
        <v>42736</v>
      </c>
      <c r="B87" s="1">
        <v>0.47</v>
      </c>
      <c r="C87" s="2">
        <f t="shared" si="6"/>
        <v>100.47</v>
      </c>
      <c r="D87" s="21">
        <f t="shared" si="8"/>
        <v>185.26119861220778</v>
      </c>
      <c r="E87" s="35">
        <v>105.79</v>
      </c>
      <c r="F87" s="28">
        <v>185.29478486301599</v>
      </c>
      <c r="G87" s="2">
        <f t="shared" si="7"/>
        <v>100.10181771435343</v>
      </c>
      <c r="H87" s="23">
        <f t="shared" si="9"/>
        <v>5.4287805843592167</v>
      </c>
      <c r="J87" s="1">
        <v>100.04</v>
      </c>
      <c r="K87" s="23">
        <f t="shared" si="10"/>
        <v>5.0743254227995322</v>
      </c>
    </row>
    <row r="88" spans="1:11" x14ac:dyDescent="0.3">
      <c r="A88" s="18">
        <v>42767</v>
      </c>
      <c r="B88" s="1">
        <v>0.33</v>
      </c>
      <c r="C88" s="2">
        <f t="shared" si="6"/>
        <v>100.33</v>
      </c>
      <c r="D88" s="21">
        <f t="shared" si="8"/>
        <v>185.87256056762806</v>
      </c>
      <c r="E88" s="35">
        <v>105.49</v>
      </c>
      <c r="F88" s="28">
        <v>185.35256919936199</v>
      </c>
      <c r="G88" s="2">
        <f t="shared" si="7"/>
        <v>100.03118508510033</v>
      </c>
      <c r="H88" s="23">
        <f t="shared" si="9"/>
        <v>1.2548031199263932</v>
      </c>
      <c r="J88" s="1">
        <v>99.97</v>
      </c>
      <c r="K88" s="23">
        <f t="shared" si="10"/>
        <v>4.2818007198615362</v>
      </c>
    </row>
    <row r="89" spans="1:11" x14ac:dyDescent="0.3">
      <c r="A89" s="18">
        <v>42795</v>
      </c>
      <c r="B89" s="1">
        <v>0.2</v>
      </c>
      <c r="C89" s="2">
        <f t="shared" si="6"/>
        <v>100.2</v>
      </c>
      <c r="D89" s="21">
        <f t="shared" si="8"/>
        <v>186.24430568876332</v>
      </c>
      <c r="E89" s="35">
        <v>105.44</v>
      </c>
      <c r="F89" s="28">
        <v>186.34648594639401</v>
      </c>
      <c r="G89" s="2">
        <f t="shared" si="7"/>
        <v>100.53623035889132</v>
      </c>
      <c r="H89" s="23">
        <f t="shared" si="9"/>
        <v>2.7100221107267544</v>
      </c>
      <c r="J89" s="1">
        <v>100.02</v>
      </c>
      <c r="K89" s="23">
        <f t="shared" si="10"/>
        <v>0.12006602200480643</v>
      </c>
    </row>
    <row r="90" spans="1:11" x14ac:dyDescent="0.3">
      <c r="A90" s="18">
        <v>42826</v>
      </c>
      <c r="B90" s="1">
        <v>0.77</v>
      </c>
      <c r="C90" s="2">
        <f t="shared" si="6"/>
        <v>100.77</v>
      </c>
      <c r="D90" s="21">
        <f t="shared" si="8"/>
        <v>187.67838684256679</v>
      </c>
      <c r="E90" s="35">
        <v>105.11</v>
      </c>
      <c r="F90" s="28">
        <v>187.306686426308</v>
      </c>
      <c r="G90" s="2">
        <f t="shared" si="7"/>
        <v>100.51527694500781</v>
      </c>
      <c r="H90" s="23">
        <f t="shared" si="9"/>
        <v>4.4177751357087374</v>
      </c>
      <c r="J90" s="1">
        <v>100.66</v>
      </c>
      <c r="K90" s="23">
        <f t="shared" si="10"/>
        <v>2.6312081965144358</v>
      </c>
    </row>
    <row r="91" spans="1:11" x14ac:dyDescent="0.3">
      <c r="A91" s="18">
        <v>42856</v>
      </c>
      <c r="B91" s="1">
        <v>0.46</v>
      </c>
      <c r="C91" s="2">
        <f t="shared" si="6"/>
        <v>100.46</v>
      </c>
      <c r="D91" s="21">
        <f t="shared" si="8"/>
        <v>188.54170742204261</v>
      </c>
      <c r="E91" s="35">
        <v>105.37</v>
      </c>
      <c r="F91" s="28">
        <v>189.09120983649001</v>
      </c>
      <c r="G91" s="2">
        <f t="shared" si="7"/>
        <v>100.95272808687696</v>
      </c>
      <c r="H91" s="23">
        <f t="shared" si="9"/>
        <v>8.3181782831971276</v>
      </c>
      <c r="J91" s="1">
        <v>100.49</v>
      </c>
      <c r="K91" s="23">
        <f t="shared" si="10"/>
        <v>4.7817025413167187</v>
      </c>
    </row>
    <row r="92" spans="1:11" x14ac:dyDescent="0.3">
      <c r="A92" s="18">
        <v>42887</v>
      </c>
      <c r="B92" s="1">
        <v>0.57999999999999996</v>
      </c>
      <c r="C92" s="2">
        <f t="shared" si="6"/>
        <v>100.58</v>
      </c>
      <c r="D92" s="21">
        <f t="shared" si="8"/>
        <v>189.63524932509046</v>
      </c>
      <c r="E92" s="35">
        <v>105.72</v>
      </c>
      <c r="F92" s="28">
        <v>188.83430305806101</v>
      </c>
      <c r="G92" s="2">
        <f t="shared" si="7"/>
        <v>99.864136054419902</v>
      </c>
      <c r="H92" s="23">
        <f t="shared" si="9"/>
        <v>5.460647288284818</v>
      </c>
      <c r="J92" s="1">
        <v>100.74</v>
      </c>
      <c r="K92" s="23">
        <f t="shared" si="10"/>
        <v>7.8275338029751396</v>
      </c>
    </row>
    <row r="93" spans="1:11" x14ac:dyDescent="0.3">
      <c r="A93" s="18">
        <v>42917</v>
      </c>
      <c r="B93" s="1">
        <v>-0.48</v>
      </c>
      <c r="C93" s="2">
        <f t="shared" si="6"/>
        <v>99.52</v>
      </c>
      <c r="D93" s="21">
        <f t="shared" si="8"/>
        <v>188.72500012833004</v>
      </c>
      <c r="E93" s="35">
        <v>104.58</v>
      </c>
      <c r="F93" s="28">
        <v>188.89426258694601</v>
      </c>
      <c r="G93" s="2">
        <f t="shared" si="7"/>
        <v>100.03175245594365</v>
      </c>
      <c r="H93" s="23">
        <f t="shared" si="9"/>
        <v>3.4477785410225295</v>
      </c>
      <c r="J93" s="1">
        <v>100</v>
      </c>
      <c r="K93" s="23">
        <f t="shared" si="10"/>
        <v>5.032476341715693</v>
      </c>
    </row>
    <row r="94" spans="1:11" x14ac:dyDescent="0.3">
      <c r="A94" s="18">
        <v>42948</v>
      </c>
      <c r="B94" s="1">
        <v>-0.51</v>
      </c>
      <c r="C94" s="2">
        <f t="shared" si="6"/>
        <v>99.49</v>
      </c>
      <c r="D94" s="21">
        <f t="shared" si="8"/>
        <v>187.76250262767553</v>
      </c>
      <c r="E94" s="35">
        <v>103.96</v>
      </c>
      <c r="F94" s="28">
        <v>188.688797545211</v>
      </c>
      <c r="G94" s="2">
        <f t="shared" si="7"/>
        <v>99.891227484137886</v>
      </c>
      <c r="H94" s="23">
        <f t="shared" si="9"/>
        <v>-0.8482204333237604</v>
      </c>
      <c r="J94" s="1">
        <v>99.89</v>
      </c>
      <c r="K94" s="23">
        <f t="shared" si="10"/>
        <v>2.5493107079234676</v>
      </c>
    </row>
    <row r="95" spans="1:11" x14ac:dyDescent="0.3">
      <c r="A95" s="18">
        <v>42979</v>
      </c>
      <c r="B95" s="1">
        <v>-0.14000000000000001</v>
      </c>
      <c r="C95" s="2">
        <f t="shared" si="6"/>
        <v>99.86</v>
      </c>
      <c r="D95" s="21">
        <f t="shared" si="8"/>
        <v>187.49963512399677</v>
      </c>
      <c r="E95" s="35">
        <v>103.95</v>
      </c>
      <c r="F95" s="28">
        <v>188.84173203715</v>
      </c>
      <c r="G95" s="2">
        <f t="shared" si="7"/>
        <v>100.08105117735056</v>
      </c>
      <c r="H95" s="23">
        <f t="shared" si="9"/>
        <v>1.612566144163452E-2</v>
      </c>
      <c r="J95" s="1">
        <v>100.33</v>
      </c>
      <c r="K95" s="23">
        <f t="shared" si="10"/>
        <v>0.88355802381376236</v>
      </c>
    </row>
    <row r="96" spans="1:11" x14ac:dyDescent="0.3">
      <c r="A96" s="18">
        <v>43009</v>
      </c>
      <c r="B96" s="1">
        <v>0.16</v>
      </c>
      <c r="C96" s="2">
        <f t="shared" si="6"/>
        <v>100.16</v>
      </c>
      <c r="D96" s="21">
        <f t="shared" si="8"/>
        <v>187.79963454019514</v>
      </c>
      <c r="E96" s="35">
        <v>103.5</v>
      </c>
      <c r="F96" s="28">
        <v>189.05207435539</v>
      </c>
      <c r="G96" s="2">
        <f t="shared" si="7"/>
        <v>100.11138550572001</v>
      </c>
      <c r="H96" s="23">
        <f t="shared" si="9"/>
        <v>0.33517045711872129</v>
      </c>
      <c r="J96" s="1">
        <v>100.17</v>
      </c>
      <c r="K96" s="23">
        <f t="shared" si="10"/>
        <v>1.5712024756713987</v>
      </c>
    </row>
    <row r="97" spans="1:11" x14ac:dyDescent="0.3">
      <c r="A97" s="18">
        <v>43040</v>
      </c>
      <c r="B97" s="1">
        <v>0.18</v>
      </c>
      <c r="C97" s="2">
        <f t="shared" si="6"/>
        <v>100.18</v>
      </c>
      <c r="D97" s="21">
        <f t="shared" si="8"/>
        <v>188.13767388236749</v>
      </c>
      <c r="E97" s="35">
        <v>103.38</v>
      </c>
      <c r="F97" s="28">
        <v>189.38420583003801</v>
      </c>
      <c r="G97" s="2">
        <f t="shared" si="7"/>
        <v>100.17568253391585</v>
      </c>
      <c r="H97" s="23">
        <f t="shared" si="9"/>
        <v>1.48245515591627</v>
      </c>
      <c r="J97" s="1">
        <v>100.06</v>
      </c>
      <c r="K97" s="23">
        <f t="shared" si="10"/>
        <v>2.2631410306477733</v>
      </c>
    </row>
    <row r="98" spans="1:11" x14ac:dyDescent="0.3">
      <c r="A98" s="18">
        <v>43070</v>
      </c>
      <c r="B98" s="1">
        <v>0.44</v>
      </c>
      <c r="C98" s="2">
        <f t="shared" si="6"/>
        <v>100.44</v>
      </c>
      <c r="D98" s="21">
        <f t="shared" si="8"/>
        <v>188.96547964744991</v>
      </c>
      <c r="E98" s="35">
        <v>102.48</v>
      </c>
      <c r="F98" s="28">
        <v>188.75389925255101</v>
      </c>
      <c r="G98" s="2">
        <f t="shared" si="7"/>
        <v>99.667181022448787</v>
      </c>
      <c r="H98" s="23">
        <f t="shared" si="9"/>
        <v>-0.18285033212059432</v>
      </c>
      <c r="J98" s="1">
        <v>100.24</v>
      </c>
      <c r="K98" s="23">
        <f t="shared" si="10"/>
        <v>1.8962842288035802</v>
      </c>
    </row>
    <row r="99" spans="1:11" x14ac:dyDescent="0.3">
      <c r="A99" s="18">
        <v>43101</v>
      </c>
      <c r="B99" s="1">
        <v>-0.03</v>
      </c>
      <c r="C99" s="2">
        <f t="shared" si="6"/>
        <v>99.97</v>
      </c>
      <c r="D99" s="21">
        <f t="shared" si="8"/>
        <v>188.90879000355565</v>
      </c>
      <c r="E99" s="35">
        <v>101.97</v>
      </c>
      <c r="F99" s="28">
        <v>188.943641476973</v>
      </c>
      <c r="G99" s="2">
        <f t="shared" ref="G99:G130" si="11">F99/F98*100</f>
        <v>100.10052360516701</v>
      </c>
      <c r="H99" s="23">
        <f t="shared" si="9"/>
        <v>-0.22621646733296075</v>
      </c>
      <c r="J99" s="1">
        <v>99.58</v>
      </c>
      <c r="K99" s="23">
        <f t="shared" si="10"/>
        <v>-0.47894540673364361</v>
      </c>
    </row>
    <row r="100" spans="1:11" x14ac:dyDescent="0.3">
      <c r="A100" s="18">
        <v>43132</v>
      </c>
      <c r="B100" s="1">
        <v>0.34</v>
      </c>
      <c r="C100" s="2">
        <f t="shared" si="6"/>
        <v>100.34</v>
      </c>
      <c r="D100" s="21">
        <f t="shared" si="8"/>
        <v>189.55107988956775</v>
      </c>
      <c r="E100" s="35">
        <v>101.98</v>
      </c>
      <c r="F100" s="28">
        <v>188.77576170675201</v>
      </c>
      <c r="G100" s="2">
        <f t="shared" si="11"/>
        <v>99.911148229753238</v>
      </c>
      <c r="H100" s="23">
        <f t="shared" si="9"/>
        <v>-1.2770522245939304</v>
      </c>
      <c r="J100" s="1">
        <v>100</v>
      </c>
      <c r="K100" s="23">
        <f t="shared" si="10"/>
        <v>-0.71762874559095735</v>
      </c>
    </row>
    <row r="101" spans="1:11" x14ac:dyDescent="0.3">
      <c r="A101" s="18">
        <v>43160</v>
      </c>
      <c r="B101" s="1">
        <v>0.08</v>
      </c>
      <c r="C101" s="2">
        <f t="shared" si="6"/>
        <v>100.08</v>
      </c>
      <c r="D101" s="21">
        <f t="shared" si="8"/>
        <v>189.70272075347941</v>
      </c>
      <c r="E101" s="35">
        <v>101.86</v>
      </c>
      <c r="F101" s="28">
        <v>189.28471321533499</v>
      </c>
      <c r="G101" s="2">
        <f t="shared" si="11"/>
        <v>100.26960638589482</v>
      </c>
      <c r="H101" s="23">
        <f t="shared" si="9"/>
        <v>1.1309329998863689</v>
      </c>
      <c r="J101" s="1">
        <v>99.88</v>
      </c>
      <c r="K101" s="23">
        <f t="shared" si="10"/>
        <v>-2.1387437858622889</v>
      </c>
    </row>
    <row r="102" spans="1:11" x14ac:dyDescent="0.3">
      <c r="A102" s="18">
        <v>43191</v>
      </c>
      <c r="B102" s="1">
        <v>0.5</v>
      </c>
      <c r="C102" s="2">
        <f t="shared" si="6"/>
        <v>100.5</v>
      </c>
      <c r="D102" s="21">
        <f t="shared" si="8"/>
        <v>190.65123435724681</v>
      </c>
      <c r="E102" s="35">
        <v>101.58</v>
      </c>
      <c r="F102" s="28">
        <v>189.586323377697</v>
      </c>
      <c r="G102" s="2">
        <f t="shared" si="11"/>
        <v>100.15934206055978</v>
      </c>
      <c r="H102" s="23">
        <f t="shared" si="9"/>
        <v>1.3689009944845338</v>
      </c>
      <c r="J102" s="1">
        <v>100.35</v>
      </c>
      <c r="K102" s="23">
        <f t="shared" si="10"/>
        <v>0.92388926430757579</v>
      </c>
    </row>
    <row r="103" spans="1:11" x14ac:dyDescent="0.3">
      <c r="A103" s="18">
        <v>43221</v>
      </c>
      <c r="B103" s="1">
        <v>0.09</v>
      </c>
      <c r="C103" s="2">
        <f t="shared" si="6"/>
        <v>100.09</v>
      </c>
      <c r="D103" s="21">
        <f t="shared" si="8"/>
        <v>190.82282046816832</v>
      </c>
      <c r="E103" s="35">
        <v>101.21</v>
      </c>
      <c r="F103" s="28">
        <v>191.4963123446</v>
      </c>
      <c r="G103" s="2">
        <f t="shared" si="11"/>
        <v>101.0074508186426</v>
      </c>
      <c r="H103" s="23">
        <f t="shared" si="9"/>
        <v>5.8993425693953299</v>
      </c>
      <c r="J103" s="1">
        <v>100.16</v>
      </c>
      <c r="K103" s="23">
        <f t="shared" si="10"/>
        <v>1.5712024756713987</v>
      </c>
    </row>
    <row r="104" spans="1:11" x14ac:dyDescent="0.3">
      <c r="A104" s="18">
        <v>43252</v>
      </c>
      <c r="B104" s="1">
        <v>0.64</v>
      </c>
      <c r="C104" s="2">
        <f t="shared" si="6"/>
        <v>100.64</v>
      </c>
      <c r="D104" s="21">
        <f t="shared" si="8"/>
        <v>192.04408651916458</v>
      </c>
      <c r="E104" s="35">
        <v>101.27</v>
      </c>
      <c r="F104" s="28">
        <v>192.393577078736</v>
      </c>
      <c r="G104" s="2">
        <f t="shared" si="11"/>
        <v>100.46855457588204</v>
      </c>
      <c r="H104" s="23">
        <f t="shared" si="9"/>
        <v>6.7411173412051255</v>
      </c>
      <c r="J104" s="1">
        <v>100.81</v>
      </c>
      <c r="K104" s="23">
        <f t="shared" si="10"/>
        <v>5.4096687323617658</v>
      </c>
    </row>
    <row r="105" spans="1:11" x14ac:dyDescent="0.3">
      <c r="A105" s="18">
        <v>43282</v>
      </c>
      <c r="B105" s="1">
        <v>0.12</v>
      </c>
      <c r="C105" s="2">
        <f t="shared" si="6"/>
        <v>100.12</v>
      </c>
      <c r="D105" s="21">
        <f t="shared" si="8"/>
        <v>192.27453942298757</v>
      </c>
      <c r="E105" s="35">
        <v>101.88</v>
      </c>
      <c r="F105" s="28">
        <v>193.34842951988099</v>
      </c>
      <c r="G105" s="2">
        <f t="shared" si="11"/>
        <v>100.49630162068988</v>
      </c>
      <c r="H105" s="23">
        <f t="shared" si="9"/>
        <v>8.1808392866849857</v>
      </c>
      <c r="J105" s="1">
        <v>100.6</v>
      </c>
      <c r="K105" s="23">
        <f t="shared" si="10"/>
        <v>6.4639500217590609</v>
      </c>
    </row>
    <row r="106" spans="1:11" x14ac:dyDescent="0.3">
      <c r="A106" s="18">
        <v>43313</v>
      </c>
      <c r="B106" s="1">
        <v>-0.05</v>
      </c>
      <c r="C106" s="2">
        <f t="shared" si="6"/>
        <v>99.95</v>
      </c>
      <c r="D106" s="21">
        <f t="shared" si="8"/>
        <v>192.17840215327607</v>
      </c>
      <c r="E106" s="35">
        <v>102.35</v>
      </c>
      <c r="F106" s="28">
        <v>192.84548085046299</v>
      </c>
      <c r="G106" s="2">
        <f t="shared" si="11"/>
        <v>99.739874448079604</v>
      </c>
      <c r="H106" s="23">
        <f t="shared" si="9"/>
        <v>2.8556299317317979</v>
      </c>
      <c r="J106" s="1">
        <v>100.37</v>
      </c>
      <c r="K106" s="23">
        <f t="shared" si="10"/>
        <v>7.3570066212323866</v>
      </c>
    </row>
    <row r="107" spans="1:11" x14ac:dyDescent="0.3">
      <c r="A107" s="18">
        <v>43344</v>
      </c>
      <c r="B107" s="1">
        <v>-0.3</v>
      </c>
      <c r="C107" s="2">
        <f t="shared" si="6"/>
        <v>99.7</v>
      </c>
      <c r="D107" s="21">
        <f t="shared" si="8"/>
        <v>191.60186694681627</v>
      </c>
      <c r="E107" s="35">
        <v>102.18</v>
      </c>
      <c r="F107" s="28">
        <v>192.859278562708</v>
      </c>
      <c r="G107" s="2">
        <f t="shared" si="11"/>
        <v>100.0071548019607</v>
      </c>
      <c r="H107" s="23">
        <f t="shared" si="9"/>
        <v>0.97767730415951348</v>
      </c>
      <c r="J107" s="1">
        <v>100.17</v>
      </c>
      <c r="K107" s="23">
        <f t="shared" si="10"/>
        <v>4.656521568456526</v>
      </c>
    </row>
    <row r="108" spans="1:11" x14ac:dyDescent="0.3">
      <c r="A108" s="18">
        <v>43374</v>
      </c>
      <c r="B108" s="1">
        <v>0.09</v>
      </c>
      <c r="C108" s="2">
        <f t="shared" si="6"/>
        <v>100.09</v>
      </c>
      <c r="D108" s="21">
        <f t="shared" si="8"/>
        <v>191.77430862706842</v>
      </c>
      <c r="E108" s="35">
        <v>102.11</v>
      </c>
      <c r="F108" s="28">
        <v>194.37498411155201</v>
      </c>
      <c r="G108" s="2">
        <f t="shared" si="11"/>
        <v>100.78591269247705</v>
      </c>
      <c r="H108" s="23">
        <f t="shared" si="9"/>
        <v>2.1527202579867293</v>
      </c>
      <c r="J108" s="1">
        <v>100.01</v>
      </c>
      <c r="K108" s="23">
        <f t="shared" si="10"/>
        <v>2.2223194589968784</v>
      </c>
    </row>
    <row r="109" spans="1:11" x14ac:dyDescent="0.3">
      <c r="A109" s="18">
        <v>43405</v>
      </c>
      <c r="B109" s="1">
        <v>0.87</v>
      </c>
      <c r="C109" s="2">
        <f t="shared" si="6"/>
        <v>100.87</v>
      </c>
      <c r="D109" s="21">
        <f t="shared" si="8"/>
        <v>193.44274511212393</v>
      </c>
      <c r="E109" s="35">
        <v>102.81</v>
      </c>
      <c r="F109" s="28">
        <v>196.00356013812299</v>
      </c>
      <c r="G109" s="2">
        <f t="shared" si="11"/>
        <v>100.83785268665866</v>
      </c>
      <c r="H109" s="23">
        <f t="shared" si="9"/>
        <v>6.7223184559042721</v>
      </c>
      <c r="J109" s="1">
        <v>100.73</v>
      </c>
      <c r="K109" s="23">
        <f t="shared" si="10"/>
        <v>3.7013455652513159</v>
      </c>
    </row>
    <row r="110" spans="1:11" x14ac:dyDescent="0.3">
      <c r="A110" s="18">
        <v>43435</v>
      </c>
      <c r="B110" s="1">
        <v>1.08</v>
      </c>
      <c r="C110" s="2">
        <f t="shared" si="6"/>
        <v>101.08</v>
      </c>
      <c r="D110" s="21">
        <f t="shared" si="8"/>
        <v>195.53192675933485</v>
      </c>
      <c r="E110" s="35">
        <v>103.47</v>
      </c>
      <c r="F110" s="28">
        <v>197.592318735714</v>
      </c>
      <c r="G110" s="2">
        <f t="shared" si="11"/>
        <v>100.81057639793451</v>
      </c>
      <c r="H110" s="23">
        <f t="shared" si="9"/>
        <v>10.183913805250242</v>
      </c>
      <c r="J110" s="1">
        <v>100.87</v>
      </c>
      <c r="K110" s="23">
        <f t="shared" si="10"/>
        <v>6.6335291997567083</v>
      </c>
    </row>
    <row r="111" spans="1:11" x14ac:dyDescent="0.3">
      <c r="A111" s="18">
        <v>43466</v>
      </c>
      <c r="B111" s="1">
        <v>1.1399999999999999</v>
      </c>
      <c r="C111" s="2">
        <f t="shared" si="6"/>
        <v>101.14</v>
      </c>
      <c r="D111" s="21">
        <f t="shared" si="8"/>
        <v>197.76099072439126</v>
      </c>
      <c r="E111" s="35">
        <v>104.68</v>
      </c>
      <c r="F111" s="28">
        <v>198.49125549114501</v>
      </c>
      <c r="G111" s="2">
        <f t="shared" si="11"/>
        <v>100.45494519280042</v>
      </c>
      <c r="H111" s="23">
        <f t="shared" si="9"/>
        <v>8.7456406232519726</v>
      </c>
      <c r="J111" s="1">
        <v>100.65</v>
      </c>
      <c r="K111" s="23">
        <f t="shared" si="10"/>
        <v>9.3806897670983176</v>
      </c>
    </row>
    <row r="112" spans="1:11" x14ac:dyDescent="0.3">
      <c r="A112" s="18">
        <v>43497</v>
      </c>
      <c r="B112" s="1">
        <v>0.71</v>
      </c>
      <c r="C112" s="2">
        <f t="shared" si="6"/>
        <v>100.71</v>
      </c>
      <c r="D112" s="21">
        <f t="shared" si="8"/>
        <v>199.16509375853443</v>
      </c>
      <c r="E112" s="35">
        <v>105.07</v>
      </c>
      <c r="F112" s="28">
        <v>199.232768488262</v>
      </c>
      <c r="G112" s="2">
        <f t="shared" si="11"/>
        <v>100.37357464200738</v>
      </c>
      <c r="H112" s="23">
        <f t="shared" si="9"/>
        <v>6.7570376001218051</v>
      </c>
      <c r="J112" s="1">
        <v>100.32</v>
      </c>
      <c r="K112" s="23">
        <f t="shared" si="10"/>
        <v>7.6134239651355387</v>
      </c>
    </row>
    <row r="113" spans="1:11" x14ac:dyDescent="0.3">
      <c r="A113" s="18">
        <v>43525</v>
      </c>
      <c r="B113" s="1">
        <v>0.55000000000000004</v>
      </c>
      <c r="C113" s="2">
        <f t="shared" si="6"/>
        <v>100.55</v>
      </c>
      <c r="D113" s="21">
        <f t="shared" si="8"/>
        <v>200.26050177420635</v>
      </c>
      <c r="E113" s="35">
        <v>105.56</v>
      </c>
      <c r="F113" s="28">
        <v>199.95568631657099</v>
      </c>
      <c r="G113" s="2">
        <f t="shared" si="11"/>
        <v>100.36285086725158</v>
      </c>
      <c r="H113" s="23">
        <f t="shared" si="9"/>
        <v>4.8709597453301683</v>
      </c>
      <c r="J113" s="1">
        <v>100.29</v>
      </c>
      <c r="K113" s="23">
        <f t="shared" si="10"/>
        <v>5.1580694429117102</v>
      </c>
    </row>
    <row r="114" spans="1:11" x14ac:dyDescent="0.3">
      <c r="A114" s="18">
        <v>43556</v>
      </c>
      <c r="B114" s="1">
        <v>0.59</v>
      </c>
      <c r="C114" s="2">
        <f t="shared" si="6"/>
        <v>100.59</v>
      </c>
      <c r="D114" s="21">
        <f t="shared" si="8"/>
        <v>201.44203873467416</v>
      </c>
      <c r="E114" s="35">
        <v>105.65</v>
      </c>
      <c r="F114" s="28">
        <v>201.18629825577199</v>
      </c>
      <c r="G114" s="2">
        <f t="shared" si="11"/>
        <v>100.61544233218389</v>
      </c>
      <c r="H114" s="23">
        <f t="shared" si="9"/>
        <v>5.5435250955773938</v>
      </c>
      <c r="J114" s="1">
        <v>100.39</v>
      </c>
      <c r="K114" s="23">
        <f t="shared" si="10"/>
        <v>4.0741542919789566</v>
      </c>
    </row>
    <row r="115" spans="1:11" x14ac:dyDescent="0.3">
      <c r="A115" s="18">
        <v>43586</v>
      </c>
      <c r="B115" s="1">
        <v>0.53</v>
      </c>
      <c r="C115" s="2">
        <f t="shared" si="6"/>
        <v>100.53</v>
      </c>
      <c r="D115" s="21">
        <f t="shared" si="8"/>
        <v>202.50968153996794</v>
      </c>
      <c r="E115" s="35">
        <v>106.12</v>
      </c>
      <c r="F115" s="28">
        <v>201.11477282197001</v>
      </c>
      <c r="G115" s="2">
        <f t="shared" si="11"/>
        <v>99.964448158536598</v>
      </c>
      <c r="H115" s="23">
        <f t="shared" si="9"/>
        <v>3.8368288202386225</v>
      </c>
      <c r="J115" s="1">
        <v>100.58</v>
      </c>
      <c r="K115" s="23">
        <f t="shared" si="10"/>
        <v>5.1580694429117102</v>
      </c>
    </row>
    <row r="116" spans="1:11" x14ac:dyDescent="0.3">
      <c r="A116" s="18">
        <v>43617</v>
      </c>
      <c r="B116" s="1">
        <v>-0.41</v>
      </c>
      <c r="C116" s="2">
        <f t="shared" si="6"/>
        <v>99.59</v>
      </c>
      <c r="D116" s="21">
        <f t="shared" si="8"/>
        <v>201.67939184565407</v>
      </c>
      <c r="E116" s="35">
        <v>105.02</v>
      </c>
      <c r="F116" s="28">
        <v>201.66461852326901</v>
      </c>
      <c r="G116" s="2">
        <f t="shared" si="11"/>
        <v>100.27339896198761</v>
      </c>
      <c r="H116" s="23">
        <f t="shared" si="9"/>
        <v>3.4670615074713425</v>
      </c>
      <c r="J116" s="1">
        <v>99.83</v>
      </c>
      <c r="K116" s="23">
        <f t="shared" si="10"/>
        <v>3.2473530323428719</v>
      </c>
    </row>
    <row r="117" spans="1:11" x14ac:dyDescent="0.3">
      <c r="A117" s="18">
        <v>43647</v>
      </c>
      <c r="B117" s="1">
        <v>-0.08</v>
      </c>
      <c r="C117" s="2">
        <f t="shared" si="6"/>
        <v>99.92</v>
      </c>
      <c r="D117" s="21">
        <f t="shared" si="8"/>
        <v>201.51804833217753</v>
      </c>
      <c r="E117" s="35">
        <v>104.81</v>
      </c>
      <c r="F117" s="28">
        <v>202.43173325042699</v>
      </c>
      <c r="G117" s="2">
        <f t="shared" si="11"/>
        <v>100.38039133129814</v>
      </c>
      <c r="H117" s="23">
        <f t="shared" si="9"/>
        <v>2.5011766231170611</v>
      </c>
      <c r="J117" s="1">
        <v>100.47</v>
      </c>
      <c r="K117" s="23">
        <f t="shared" si="10"/>
        <v>3.5773482888790227</v>
      </c>
    </row>
    <row r="118" spans="1:11" x14ac:dyDescent="0.3">
      <c r="A118" s="18">
        <v>43678</v>
      </c>
      <c r="B118" s="1">
        <v>-0.17</v>
      </c>
      <c r="C118" s="2">
        <f t="shared" si="6"/>
        <v>99.83</v>
      </c>
      <c r="D118" s="21">
        <f t="shared" si="8"/>
        <v>201.17546765001282</v>
      </c>
      <c r="E118" s="35">
        <v>104.68</v>
      </c>
      <c r="F118" s="28">
        <v>201.84601829474499</v>
      </c>
      <c r="G118" s="2">
        <f t="shared" si="11"/>
        <v>99.710660504518131</v>
      </c>
      <c r="H118" s="23">
        <f t="shared" si="9"/>
        <v>1.467583197584716</v>
      </c>
      <c r="J118" s="1">
        <v>100.28</v>
      </c>
      <c r="K118" s="23">
        <f t="shared" si="10"/>
        <v>2.3448290071893183</v>
      </c>
    </row>
    <row r="119" spans="1:11" x14ac:dyDescent="0.3">
      <c r="A119" s="18">
        <v>43709</v>
      </c>
      <c r="B119" s="1">
        <v>-0.32</v>
      </c>
      <c r="C119" s="2">
        <f t="shared" si="6"/>
        <v>99.68</v>
      </c>
      <c r="D119" s="21">
        <f t="shared" si="8"/>
        <v>200.53170615353281</v>
      </c>
      <c r="E119" s="35">
        <v>104.66</v>
      </c>
      <c r="F119" s="28">
        <v>202.258083566343</v>
      </c>
      <c r="G119" s="2">
        <f t="shared" si="11"/>
        <v>100.20414832805685</v>
      </c>
      <c r="H119" s="23">
        <f t="shared" si="9"/>
        <v>1.1872121595088601</v>
      </c>
      <c r="J119" s="1">
        <v>100.1</v>
      </c>
      <c r="K119" s="23">
        <f t="shared" si="10"/>
        <v>3.4534869360292646</v>
      </c>
    </row>
    <row r="120" spans="1:11" x14ac:dyDescent="0.3">
      <c r="A120" s="18">
        <v>43739</v>
      </c>
      <c r="B120" s="1">
        <v>0.3</v>
      </c>
      <c r="C120" s="2">
        <f t="shared" si="6"/>
        <v>100.3</v>
      </c>
      <c r="D120" s="21">
        <f t="shared" si="8"/>
        <v>201.13330127199342</v>
      </c>
      <c r="E120" s="35">
        <v>104.89</v>
      </c>
      <c r="F120" s="28">
        <v>202.862621669552</v>
      </c>
      <c r="G120" s="2">
        <f t="shared" si="11"/>
        <v>100.29889440884112</v>
      </c>
      <c r="H120" s="23">
        <f t="shared" si="9"/>
        <v>0.85816999624411494</v>
      </c>
      <c r="J120" s="1">
        <v>100.19</v>
      </c>
      <c r="K120" s="23">
        <f t="shared" si="10"/>
        <v>2.3039775450543232</v>
      </c>
    </row>
    <row r="121" spans="1:11" x14ac:dyDescent="0.3">
      <c r="A121" s="18">
        <v>43770</v>
      </c>
      <c r="B121" s="1">
        <v>0.39</v>
      </c>
      <c r="C121" s="2">
        <f t="shared" si="6"/>
        <v>100.39</v>
      </c>
      <c r="D121" s="21">
        <f t="shared" si="8"/>
        <v>201.91772114695422</v>
      </c>
      <c r="E121" s="35">
        <v>104.39</v>
      </c>
      <c r="F121" s="28">
        <v>203.276460284417</v>
      </c>
      <c r="G121" s="2">
        <f t="shared" si="11"/>
        <v>100.20399944132592</v>
      </c>
      <c r="H121" s="23">
        <f t="shared" si="9"/>
        <v>2.8651182145428749</v>
      </c>
      <c r="J121" s="1">
        <v>100.31</v>
      </c>
      <c r="K121" s="23">
        <f t="shared" si="10"/>
        <v>2.4265767945403525</v>
      </c>
    </row>
    <row r="122" spans="1:11" x14ac:dyDescent="0.3">
      <c r="A122" s="18">
        <v>43800</v>
      </c>
      <c r="B122" s="1">
        <v>0.41</v>
      </c>
      <c r="C122" s="2">
        <f t="shared" si="6"/>
        <v>100.41</v>
      </c>
      <c r="D122" s="21">
        <f t="shared" si="8"/>
        <v>202.74558380365673</v>
      </c>
      <c r="E122" s="35">
        <v>103.69</v>
      </c>
      <c r="F122" s="28">
        <v>203.59326788124599</v>
      </c>
      <c r="G122" s="2">
        <f t="shared" si="11"/>
        <v>100.15585060679713</v>
      </c>
      <c r="H122" s="23">
        <f t="shared" si="9"/>
        <v>2.667034483354044</v>
      </c>
      <c r="J122" s="1">
        <v>100.24</v>
      </c>
      <c r="K122" s="23">
        <f t="shared" si="10"/>
        <v>3.000489355618015</v>
      </c>
    </row>
    <row r="123" spans="1:11" x14ac:dyDescent="0.3">
      <c r="A123" s="18">
        <v>43831</v>
      </c>
      <c r="B123" s="1">
        <v>0.5</v>
      </c>
      <c r="C123" s="2">
        <f t="shared" si="6"/>
        <v>100.5</v>
      </c>
      <c r="D123" s="21">
        <f t="shared" si="8"/>
        <v>203.75931172267502</v>
      </c>
      <c r="E123" s="35">
        <v>103.03</v>
      </c>
      <c r="F123" s="28">
        <v>203.86319375994299</v>
      </c>
      <c r="G123" s="2">
        <f t="shared" si="11"/>
        <v>100.13258094509021</v>
      </c>
      <c r="H123" s="23">
        <f t="shared" si="9"/>
        <v>1.987604103243001</v>
      </c>
      <c r="J123" s="1">
        <v>100.03</v>
      </c>
      <c r="K123" s="23">
        <f t="shared" si="10"/>
        <v>2.3448290071893183</v>
      </c>
    </row>
    <row r="124" spans="1:11" x14ac:dyDescent="0.3">
      <c r="A124" s="18">
        <v>43862</v>
      </c>
      <c r="B124" s="1">
        <v>0.4</v>
      </c>
      <c r="C124" s="2">
        <f t="shared" si="6"/>
        <v>100.4</v>
      </c>
      <c r="D124" s="21">
        <f t="shared" si="8"/>
        <v>204.57434896956573</v>
      </c>
      <c r="E124" s="35">
        <v>102.71</v>
      </c>
      <c r="F124" s="28">
        <v>204.85033870761399</v>
      </c>
      <c r="G124" s="2">
        <f t="shared" si="11"/>
        <v>100.48421930877498</v>
      </c>
      <c r="H124" s="23">
        <f t="shared" si="9"/>
        <v>3.1347606938261805</v>
      </c>
      <c r="J124" s="1">
        <v>99.93</v>
      </c>
      <c r="K124" s="23">
        <f t="shared" si="10"/>
        <v>0.80293986164002717</v>
      </c>
    </row>
    <row r="125" spans="1:11" x14ac:dyDescent="0.3">
      <c r="A125" s="18">
        <v>43891</v>
      </c>
      <c r="B125" s="1">
        <v>0.67</v>
      </c>
      <c r="C125" s="2">
        <f t="shared" si="6"/>
        <v>100.67</v>
      </c>
      <c r="D125" s="21">
        <f t="shared" si="8"/>
        <v>205.94499710766183</v>
      </c>
      <c r="E125" s="35">
        <v>102.84</v>
      </c>
      <c r="F125" s="28">
        <v>207.06171365351801</v>
      </c>
      <c r="G125" s="2">
        <f t="shared" si="11"/>
        <v>101.07950758580895</v>
      </c>
      <c r="H125" s="23">
        <f t="shared" si="9"/>
        <v>7.0002733312442444</v>
      </c>
      <c r="J125" s="1">
        <v>100.42</v>
      </c>
      <c r="K125" s="23">
        <f t="shared" si="10"/>
        <v>1.530634171535425</v>
      </c>
    </row>
    <row r="126" spans="1:11" x14ac:dyDescent="0.3">
      <c r="A126" s="18">
        <v>43922</v>
      </c>
      <c r="B126" s="1">
        <v>1.3</v>
      </c>
      <c r="C126" s="2">
        <f t="shared" si="6"/>
        <v>101.3</v>
      </c>
      <c r="D126" s="21">
        <f t="shared" si="8"/>
        <v>208.62228207006146</v>
      </c>
      <c r="E126" s="35">
        <v>103.57</v>
      </c>
      <c r="F126" s="28">
        <v>207.522602573337</v>
      </c>
      <c r="G126" s="2">
        <f t="shared" si="11"/>
        <v>100.22258529193388</v>
      </c>
      <c r="H126" s="23">
        <f t="shared" si="9"/>
        <v>7.3839561373107614</v>
      </c>
      <c r="J126" s="1">
        <v>101.06</v>
      </c>
      <c r="K126" s="23">
        <f t="shared" si="10"/>
        <v>5.7881024430623427</v>
      </c>
    </row>
    <row r="127" spans="1:11" x14ac:dyDescent="0.3">
      <c r="A127" s="18">
        <v>43952</v>
      </c>
      <c r="B127" s="1">
        <v>0.12</v>
      </c>
      <c r="C127" s="2">
        <f t="shared" si="6"/>
        <v>100.12</v>
      </c>
      <c r="D127" s="21">
        <f t="shared" si="8"/>
        <v>208.87262880854556</v>
      </c>
      <c r="E127" s="35">
        <v>103.14</v>
      </c>
      <c r="F127" s="28">
        <v>208.339912842351</v>
      </c>
      <c r="G127" s="2">
        <f t="shared" si="11"/>
        <v>100.39384156659521</v>
      </c>
      <c r="H127" s="23">
        <f t="shared" si="9"/>
        <v>6.9986841915688842</v>
      </c>
      <c r="J127" s="1">
        <v>100.19</v>
      </c>
      <c r="K127" s="23">
        <f t="shared" si="10"/>
        <v>6.8883622612968622</v>
      </c>
    </row>
    <row r="128" spans="1:11" x14ac:dyDescent="0.3">
      <c r="A128" s="18">
        <v>43983</v>
      </c>
      <c r="B128" s="1">
        <v>0.01</v>
      </c>
      <c r="C128" s="2">
        <f t="shared" si="6"/>
        <v>100.01</v>
      </c>
      <c r="D128" s="21">
        <f t="shared" si="8"/>
        <v>208.89351607142643</v>
      </c>
      <c r="E128" s="35">
        <v>103.57</v>
      </c>
      <c r="F128" s="28">
        <v>208.768284671564</v>
      </c>
      <c r="G128" s="2">
        <f t="shared" si="11"/>
        <v>100.2056119844579</v>
      </c>
      <c r="H128" s="23">
        <f t="shared" si="9"/>
        <v>3.3381656400780173</v>
      </c>
      <c r="J128" s="1">
        <v>100.35</v>
      </c>
      <c r="K128" s="23">
        <f t="shared" si="10"/>
        <v>6.5911112084870638</v>
      </c>
    </row>
    <row r="129" spans="1:11" x14ac:dyDescent="0.3">
      <c r="A129" s="18">
        <v>44013</v>
      </c>
      <c r="B129" s="1">
        <v>-0.15</v>
      </c>
      <c r="C129" s="2">
        <f t="shared" si="6"/>
        <v>99.85</v>
      </c>
      <c r="D129" s="21">
        <f t="shared" si="8"/>
        <v>208.58017579731927</v>
      </c>
      <c r="E129" s="35">
        <v>103.5</v>
      </c>
      <c r="F129" s="28">
        <v>210.168075272609</v>
      </c>
      <c r="G129" s="2">
        <f t="shared" si="11"/>
        <v>100.67049964186235</v>
      </c>
      <c r="H129" s="23">
        <f t="shared" si="9"/>
        <v>5.199768258413016</v>
      </c>
      <c r="J129" s="1">
        <v>100.5</v>
      </c>
      <c r="K129" s="23">
        <f t="shared" si="10"/>
        <v>4.2402410781353268</v>
      </c>
    </row>
    <row r="130" spans="1:11" x14ac:dyDescent="0.3">
      <c r="A130" s="18">
        <v>44044</v>
      </c>
      <c r="B130" s="1">
        <v>0.11</v>
      </c>
      <c r="C130" s="2">
        <f t="shared" si="6"/>
        <v>100.11</v>
      </c>
      <c r="D130" s="21">
        <f t="shared" si="8"/>
        <v>208.80961399069631</v>
      </c>
      <c r="E130" s="35">
        <v>103.79</v>
      </c>
      <c r="F130" s="28">
        <v>210.45291326354999</v>
      </c>
      <c r="G130" s="2">
        <f t="shared" si="11"/>
        <v>100.13552866703068</v>
      </c>
      <c r="H130" s="23">
        <f t="shared" si="9"/>
        <v>4.1224617228596685</v>
      </c>
      <c r="J130" s="1">
        <v>100.6</v>
      </c>
      <c r="K130" s="23">
        <f t="shared" si="10"/>
        <v>5.9566946224458519</v>
      </c>
    </row>
    <row r="131" spans="1:11" x14ac:dyDescent="0.3">
      <c r="A131" s="18">
        <v>44075</v>
      </c>
      <c r="B131" s="1">
        <v>0.13</v>
      </c>
      <c r="C131" s="2">
        <f t="shared" ref="C131:C169" si="12">B131+100</f>
        <v>100.13</v>
      </c>
      <c r="D131" s="21">
        <f t="shared" si="8"/>
        <v>209.0810664888842</v>
      </c>
      <c r="E131" s="35">
        <v>104.26</v>
      </c>
      <c r="F131" s="28">
        <v>211.26750231937001</v>
      </c>
      <c r="G131" s="2">
        <f t="shared" ref="G131:G162" si="13">F131/F130*100</f>
        <v>100.38706475628585</v>
      </c>
      <c r="H131" s="23">
        <f t="shared" si="9"/>
        <v>4.8781564277869478</v>
      </c>
      <c r="J131" s="1">
        <v>100.57</v>
      </c>
      <c r="K131" s="23">
        <f t="shared" si="10"/>
        <v>6.8883622612967343</v>
      </c>
    </row>
    <row r="132" spans="1:11" x14ac:dyDescent="0.3">
      <c r="A132" s="18">
        <v>44105</v>
      </c>
      <c r="B132" s="1">
        <v>0.5</v>
      </c>
      <c r="C132" s="2">
        <f t="shared" si="12"/>
        <v>100.5</v>
      </c>
      <c r="D132" s="21">
        <f t="shared" ref="D132:D195" si="14">C132*D131/100</f>
        <v>210.12647182132864</v>
      </c>
      <c r="E132" s="35">
        <v>104.47</v>
      </c>
      <c r="F132" s="28">
        <v>212.71260099406001</v>
      </c>
      <c r="G132" s="2">
        <f t="shared" si="13"/>
        <v>100.68401370718412</v>
      </c>
      <c r="H132" s="23">
        <f t="shared" si="9"/>
        <v>4.9346390008128083</v>
      </c>
      <c r="J132" s="1">
        <v>100.33</v>
      </c>
      <c r="K132" s="23">
        <f t="shared" si="10"/>
        <v>6.1677811864499574</v>
      </c>
    </row>
    <row r="133" spans="1:11" x14ac:dyDescent="0.3">
      <c r="A133" s="18">
        <v>44136</v>
      </c>
      <c r="B133" s="1">
        <v>0.78</v>
      </c>
      <c r="C133" s="2">
        <f t="shared" si="12"/>
        <v>100.78</v>
      </c>
      <c r="D133" s="21">
        <f t="shared" si="14"/>
        <v>211.76545830153501</v>
      </c>
      <c r="E133" s="35">
        <v>104.87</v>
      </c>
      <c r="F133" s="28">
        <v>214.261809671961</v>
      </c>
      <c r="G133" s="2">
        <f t="shared" si="13"/>
        <v>100.72831072097334</v>
      </c>
      <c r="H133" s="23">
        <f t="shared" si="9"/>
        <v>7.4398073579147876</v>
      </c>
      <c r="J133" s="1">
        <v>100.62</v>
      </c>
      <c r="K133" s="23">
        <f t="shared" ref="K133:K196" si="15">AVERAGE(J131:J133)^12/100^11-100</f>
        <v>6.2523236933286341</v>
      </c>
    </row>
    <row r="134" spans="1:11" x14ac:dyDescent="0.3">
      <c r="A134" s="18">
        <v>44166</v>
      </c>
      <c r="B134" s="1">
        <v>0.9</v>
      </c>
      <c r="C134" s="2">
        <f t="shared" si="12"/>
        <v>100.9</v>
      </c>
      <c r="D134" s="21">
        <f t="shared" si="14"/>
        <v>213.67134742624884</v>
      </c>
      <c r="E134" s="35">
        <v>105.39</v>
      </c>
      <c r="F134" s="28">
        <v>214.766019912882</v>
      </c>
      <c r="G134" s="2">
        <f t="shared" si="13"/>
        <v>100.23532436400725</v>
      </c>
      <c r="H134" s="23">
        <f t="shared" ref="H134:H180" si="16">AVERAGE(G132:G134)^12/100^11-100</f>
        <v>6.7933666430427451</v>
      </c>
      <c r="J134" s="1">
        <v>100.68</v>
      </c>
      <c r="K134" s="23">
        <f t="shared" si="15"/>
        <v>6.7184116066107009</v>
      </c>
    </row>
    <row r="135" spans="1:11" x14ac:dyDescent="0.3">
      <c r="A135" s="18">
        <v>44197</v>
      </c>
      <c r="B135" s="1">
        <v>0.6</v>
      </c>
      <c r="C135" s="2">
        <f t="shared" si="12"/>
        <v>100.6</v>
      </c>
      <c r="D135" s="21">
        <f t="shared" si="14"/>
        <v>214.95337551080632</v>
      </c>
      <c r="E135" s="35">
        <v>105.49</v>
      </c>
      <c r="F135" s="28">
        <v>216.364768452585</v>
      </c>
      <c r="G135" s="2">
        <f t="shared" si="13"/>
        <v>100.74441410254356</v>
      </c>
      <c r="H135" s="23">
        <f t="shared" si="16"/>
        <v>7.0502545744549536</v>
      </c>
      <c r="J135" s="1">
        <v>100.12</v>
      </c>
      <c r="K135" s="23">
        <f t="shared" si="15"/>
        <v>5.8302274190096881</v>
      </c>
    </row>
    <row r="136" spans="1:11" x14ac:dyDescent="0.3">
      <c r="A136" s="18">
        <v>44228</v>
      </c>
      <c r="B136" s="1">
        <v>1.03</v>
      </c>
      <c r="C136" s="2">
        <f t="shared" si="12"/>
        <v>101.03</v>
      </c>
      <c r="D136" s="21">
        <f t="shared" si="14"/>
        <v>217.16739527856762</v>
      </c>
      <c r="E136" s="35">
        <v>106.16</v>
      </c>
      <c r="F136" s="28">
        <v>218.790058469081</v>
      </c>
      <c r="G136" s="2">
        <f t="shared" si="13"/>
        <v>101.1209264954925</v>
      </c>
      <c r="H136" s="23">
        <f t="shared" si="16"/>
        <v>8.7339382037555708</v>
      </c>
      <c r="J136" s="1">
        <v>100.56</v>
      </c>
      <c r="K136" s="23">
        <f t="shared" si="15"/>
        <v>5.5777080228274372</v>
      </c>
    </row>
    <row r="137" spans="1:11" x14ac:dyDescent="0.3">
      <c r="A137" s="18">
        <v>44256</v>
      </c>
      <c r="B137" s="1">
        <v>1.31</v>
      </c>
      <c r="C137" s="2">
        <f t="shared" si="12"/>
        <v>101.31</v>
      </c>
      <c r="D137" s="21">
        <f t="shared" si="14"/>
        <v>220.01228815671686</v>
      </c>
      <c r="E137" s="35">
        <v>106.83</v>
      </c>
      <c r="F137" s="28">
        <v>220.24183339007399</v>
      </c>
      <c r="G137" s="2">
        <f t="shared" si="13"/>
        <v>100.66354702364053</v>
      </c>
      <c r="H137" s="23">
        <f t="shared" si="16"/>
        <v>10.597968429657399</v>
      </c>
      <c r="J137" s="1">
        <v>100.92</v>
      </c>
      <c r="K137" s="23">
        <f t="shared" si="15"/>
        <v>6.5911112084870638</v>
      </c>
    </row>
    <row r="138" spans="1:11" x14ac:dyDescent="0.3">
      <c r="A138" s="18">
        <v>44287</v>
      </c>
      <c r="B138" s="1">
        <v>0.86</v>
      </c>
      <c r="C138" s="2">
        <f t="shared" si="12"/>
        <v>100.86</v>
      </c>
      <c r="D138" s="21">
        <f t="shared" si="14"/>
        <v>221.90439383486463</v>
      </c>
      <c r="E138" s="35">
        <v>106.37</v>
      </c>
      <c r="F138" s="28">
        <v>221.40894399052999</v>
      </c>
      <c r="G138" s="2">
        <f t="shared" si="13"/>
        <v>100.52992230517302</v>
      </c>
      <c r="H138" s="23">
        <f t="shared" si="16"/>
        <v>9.6606667126824988</v>
      </c>
      <c r="J138" s="1">
        <v>100.64</v>
      </c>
      <c r="K138" s="23">
        <f t="shared" si="15"/>
        <v>8.817477842673398</v>
      </c>
    </row>
    <row r="139" spans="1:11" x14ac:dyDescent="0.3">
      <c r="A139" s="18">
        <v>44317</v>
      </c>
      <c r="B139" s="1">
        <v>0.41</v>
      </c>
      <c r="C139" s="2">
        <f t="shared" si="12"/>
        <v>100.41</v>
      </c>
      <c r="D139" s="21">
        <f t="shared" si="14"/>
        <v>222.81420184958759</v>
      </c>
      <c r="E139" s="35">
        <v>106.69</v>
      </c>
      <c r="F139" s="28">
        <v>223.51645342588901</v>
      </c>
      <c r="G139" s="2">
        <f t="shared" si="13"/>
        <v>100.95186282784003</v>
      </c>
      <c r="H139" s="23">
        <f t="shared" si="16"/>
        <v>8.9270178792195622</v>
      </c>
      <c r="J139" s="1">
        <v>100.55</v>
      </c>
      <c r="K139" s="23">
        <f t="shared" si="15"/>
        <v>8.7742641513665802</v>
      </c>
    </row>
    <row r="140" spans="1:11" x14ac:dyDescent="0.3">
      <c r="A140" s="18">
        <v>44348</v>
      </c>
      <c r="B140" s="1">
        <v>0.56000000000000005</v>
      </c>
      <c r="C140" s="2">
        <f t="shared" si="12"/>
        <v>100.56</v>
      </c>
      <c r="D140" s="21">
        <f t="shared" si="14"/>
        <v>224.06196137994527</v>
      </c>
      <c r="E140" s="35">
        <v>107.27</v>
      </c>
      <c r="F140" s="28">
        <v>224.80106654605601</v>
      </c>
      <c r="G140" s="2">
        <f t="shared" si="13"/>
        <v>100.57472866112424</v>
      </c>
      <c r="H140" s="23">
        <f t="shared" si="16"/>
        <v>8.5433974764405747</v>
      </c>
      <c r="J140" s="1">
        <v>100.91</v>
      </c>
      <c r="K140" s="23">
        <f t="shared" si="15"/>
        <v>8.7310661915506813</v>
      </c>
    </row>
    <row r="141" spans="1:11" x14ac:dyDescent="0.3">
      <c r="A141" s="18">
        <v>44378</v>
      </c>
      <c r="B141" s="1">
        <v>0.22</v>
      </c>
      <c r="C141" s="2">
        <f t="shared" si="12"/>
        <v>100.22</v>
      </c>
      <c r="D141" s="21">
        <f t="shared" si="14"/>
        <v>224.55489769498115</v>
      </c>
      <c r="E141" s="35">
        <v>107.66</v>
      </c>
      <c r="F141" s="28">
        <v>226.450497250588</v>
      </c>
      <c r="G141" s="2">
        <f t="shared" si="13"/>
        <v>100.73372903868945</v>
      </c>
      <c r="H141" s="23">
        <f t="shared" si="16"/>
        <v>9.425516703478948</v>
      </c>
      <c r="J141" s="1">
        <v>101.05</v>
      </c>
      <c r="K141" s="23">
        <f t="shared" si="15"/>
        <v>10.515138041180705</v>
      </c>
    </row>
    <row r="142" spans="1:11" x14ac:dyDescent="0.3">
      <c r="A142" s="18">
        <v>44409</v>
      </c>
      <c r="B142" s="1">
        <v>0.16</v>
      </c>
      <c r="C142" s="2">
        <f t="shared" si="12"/>
        <v>100.16</v>
      </c>
      <c r="D142" s="21">
        <f t="shared" si="14"/>
        <v>224.91418553129313</v>
      </c>
      <c r="E142" s="35">
        <v>107.72</v>
      </c>
      <c r="F142" s="28">
        <v>228.03592744055001</v>
      </c>
      <c r="G142" s="2">
        <f t="shared" si="13"/>
        <v>100.70012219412688</v>
      </c>
      <c r="H142" s="23">
        <f t="shared" si="16"/>
        <v>8.3368783879597572</v>
      </c>
      <c r="J142" s="1">
        <v>100.69</v>
      </c>
      <c r="K142" s="23">
        <f t="shared" si="15"/>
        <v>11.130452407647709</v>
      </c>
    </row>
    <row r="143" spans="1:11" x14ac:dyDescent="0.3">
      <c r="A143" s="18">
        <v>44440</v>
      </c>
      <c r="B143" s="1">
        <v>0.73</v>
      </c>
      <c r="C143" s="2">
        <f t="shared" si="12"/>
        <v>100.73</v>
      </c>
      <c r="D143" s="21">
        <f t="shared" si="14"/>
        <v>226.55605908567159</v>
      </c>
      <c r="E143" s="35">
        <v>108.37</v>
      </c>
      <c r="F143" s="28">
        <v>229.82893060143601</v>
      </c>
      <c r="G143" s="2">
        <f t="shared" si="13"/>
        <v>100.7862809957231</v>
      </c>
      <c r="H143" s="23">
        <f t="shared" si="16"/>
        <v>9.2510547323010712</v>
      </c>
      <c r="J143" s="1">
        <v>101.16</v>
      </c>
      <c r="K143" s="23">
        <f t="shared" si="15"/>
        <v>12.237044840266421</v>
      </c>
    </row>
    <row r="144" spans="1:11" x14ac:dyDescent="0.3">
      <c r="A144" s="18">
        <v>44470</v>
      </c>
      <c r="B144" s="1">
        <v>0.92</v>
      </c>
      <c r="C144" s="2">
        <f t="shared" si="12"/>
        <v>100.92</v>
      </c>
      <c r="D144" s="21">
        <f t="shared" si="14"/>
        <v>228.64037482925977</v>
      </c>
      <c r="E144" s="35">
        <v>108.83</v>
      </c>
      <c r="F144" s="28">
        <v>231.583716513322</v>
      </c>
      <c r="G144" s="2">
        <f t="shared" si="13"/>
        <v>100.76351828609825</v>
      </c>
      <c r="H144" s="23">
        <f t="shared" si="16"/>
        <v>9.3803487645107992</v>
      </c>
      <c r="J144" s="1">
        <v>100.78</v>
      </c>
      <c r="K144" s="23">
        <f t="shared" si="15"/>
        <v>11.04235851416675</v>
      </c>
    </row>
    <row r="145" spans="1:11" x14ac:dyDescent="0.3">
      <c r="A145" s="18">
        <v>44501</v>
      </c>
      <c r="B145" s="1">
        <v>0.86</v>
      </c>
      <c r="C145" s="2">
        <f t="shared" si="12"/>
        <v>100.86</v>
      </c>
      <c r="D145" s="21">
        <f t="shared" si="14"/>
        <v>230.6066820527914</v>
      </c>
      <c r="E145" s="35">
        <v>108.91</v>
      </c>
      <c r="F145" s="28">
        <v>231.754091099709</v>
      </c>
      <c r="G145" s="2">
        <f t="shared" si="13"/>
        <v>100.07356932903232</v>
      </c>
      <c r="H145" s="23">
        <f t="shared" si="16"/>
        <v>6.6902603318797418</v>
      </c>
      <c r="J145" s="1">
        <v>100.52</v>
      </c>
      <c r="K145" s="23">
        <f t="shared" si="15"/>
        <v>10.296140860819378</v>
      </c>
    </row>
    <row r="146" spans="1:11" x14ac:dyDescent="0.3">
      <c r="A146" s="18">
        <v>44531</v>
      </c>
      <c r="B146" s="1">
        <v>0.21</v>
      </c>
      <c r="C146" s="2">
        <f t="shared" si="12"/>
        <v>100.21</v>
      </c>
      <c r="D146" s="21">
        <f t="shared" si="14"/>
        <v>231.09095608510225</v>
      </c>
      <c r="E146" s="35">
        <v>108.17</v>
      </c>
      <c r="F146" s="28">
        <v>233.66865615946799</v>
      </c>
      <c r="G146" s="2">
        <f t="shared" si="13"/>
        <v>100.82611920707593</v>
      </c>
      <c r="H146" s="23">
        <f t="shared" si="16"/>
        <v>6.8594821581977214</v>
      </c>
      <c r="J146" s="1">
        <v>100.11</v>
      </c>
      <c r="K146" s="23">
        <f t="shared" si="15"/>
        <v>5.7881024430623427</v>
      </c>
    </row>
    <row r="147" spans="1:11" x14ac:dyDescent="0.3">
      <c r="A147" s="18">
        <v>44562</v>
      </c>
      <c r="B147" s="1">
        <v>1.22</v>
      </c>
      <c r="C147" s="2">
        <f t="shared" si="12"/>
        <v>101.22</v>
      </c>
      <c r="D147" s="21">
        <f t="shared" si="14"/>
        <v>233.91026574934051</v>
      </c>
      <c r="E147" s="35">
        <v>108.84</v>
      </c>
      <c r="F147" s="28">
        <v>235.16290483680899</v>
      </c>
      <c r="G147" s="2">
        <f t="shared" si="13"/>
        <v>100.639473304593</v>
      </c>
      <c r="H147" s="23">
        <f t="shared" si="16"/>
        <v>6.3333810781807358</v>
      </c>
      <c r="J147" s="1">
        <v>100.62</v>
      </c>
      <c r="K147" s="23">
        <f t="shared" si="15"/>
        <v>5.1161897881733722</v>
      </c>
    </row>
    <row r="148" spans="1:11" x14ac:dyDescent="0.3">
      <c r="A148" s="18">
        <v>44593</v>
      </c>
      <c r="B148" s="1">
        <v>0.94</v>
      </c>
      <c r="C148" s="2">
        <f t="shared" si="12"/>
        <v>100.94</v>
      </c>
      <c r="D148" s="21">
        <f t="shared" si="14"/>
        <v>236.1090222473843</v>
      </c>
      <c r="E148" s="35">
        <v>108.73</v>
      </c>
      <c r="F148" s="28">
        <v>247.77085378067699</v>
      </c>
      <c r="G148" s="2">
        <f t="shared" si="13"/>
        <v>105.3613680918839</v>
      </c>
      <c r="H148" s="23">
        <f t="shared" si="16"/>
        <v>30.998752381565993</v>
      </c>
      <c r="J148" s="1">
        <v>100.47</v>
      </c>
      <c r="K148" s="23">
        <f t="shared" si="15"/>
        <v>4.9070207534807793</v>
      </c>
    </row>
    <row r="149" spans="1:11" x14ac:dyDescent="0.3">
      <c r="A149" s="18">
        <v>44621</v>
      </c>
      <c r="B149" s="1">
        <v>5.55</v>
      </c>
      <c r="C149" s="2">
        <f t="shared" si="12"/>
        <v>105.55</v>
      </c>
      <c r="D149" s="21">
        <f t="shared" si="14"/>
        <v>249.21307298211414</v>
      </c>
      <c r="E149" s="35">
        <v>113.28999999999999</v>
      </c>
      <c r="F149" s="28">
        <v>255.46555815128301</v>
      </c>
      <c r="G149" s="2">
        <f t="shared" si="13"/>
        <v>103.10557285217141</v>
      </c>
      <c r="H149" s="23">
        <f t="shared" si="16"/>
        <v>43.166414819210075</v>
      </c>
      <c r="J149" s="1">
        <v>105.09</v>
      </c>
      <c r="K149" s="23">
        <f t="shared" si="15"/>
        <v>27.722310975643964</v>
      </c>
    </row>
    <row r="150" spans="1:11" x14ac:dyDescent="0.3">
      <c r="A150" s="18">
        <v>44652</v>
      </c>
      <c r="B150" s="1">
        <v>3.28</v>
      </c>
      <c r="C150" s="2">
        <f t="shared" si="12"/>
        <v>103.28</v>
      </c>
      <c r="D150" s="21">
        <f t="shared" si="14"/>
        <v>257.38726177592747</v>
      </c>
      <c r="E150" s="35">
        <v>116</v>
      </c>
      <c r="F150" s="28">
        <v>257.54691843997603</v>
      </c>
      <c r="G150" s="2">
        <f t="shared" si="13"/>
        <v>100.81473224952715</v>
      </c>
      <c r="H150" s="23">
        <f t="shared" si="16"/>
        <v>44.143538035652654</v>
      </c>
      <c r="J150" s="1">
        <v>103</v>
      </c>
      <c r="K150" s="23">
        <f t="shared" si="15"/>
        <v>40.158826827203256</v>
      </c>
    </row>
    <row r="151" spans="1:11" x14ac:dyDescent="0.3">
      <c r="A151" s="18">
        <v>44682</v>
      </c>
      <c r="B151" s="1">
        <v>0.68</v>
      </c>
      <c r="C151" s="2">
        <f t="shared" si="12"/>
        <v>100.68</v>
      </c>
      <c r="D151" s="21">
        <f t="shared" si="14"/>
        <v>259.13749515600381</v>
      </c>
      <c r="E151" s="35">
        <v>116.31</v>
      </c>
      <c r="F151" s="28">
        <v>256.81352213701803</v>
      </c>
      <c r="G151" s="2">
        <f t="shared" si="13"/>
        <v>99.715237787584357</v>
      </c>
      <c r="H151" s="23">
        <f t="shared" si="16"/>
        <v>15.551672564496414</v>
      </c>
      <c r="J151" s="1">
        <v>100.81</v>
      </c>
      <c r="K151" s="23">
        <f t="shared" si="15"/>
        <v>42.023379612631373</v>
      </c>
    </row>
    <row r="152" spans="1:11" x14ac:dyDescent="0.3">
      <c r="A152" s="18">
        <v>44713</v>
      </c>
      <c r="B152" s="1">
        <v>-0.68</v>
      </c>
      <c r="C152" s="2">
        <f t="shared" si="12"/>
        <v>99.32</v>
      </c>
      <c r="D152" s="21">
        <f t="shared" si="14"/>
        <v>257.37536018894298</v>
      </c>
      <c r="E152" s="35">
        <v>114.88</v>
      </c>
      <c r="F152" s="28">
        <v>255.71766324062699</v>
      </c>
      <c r="G152" s="2">
        <f t="shared" si="13"/>
        <v>99.573286138801393</v>
      </c>
      <c r="H152" s="23">
        <f t="shared" si="16"/>
        <v>0.41380746948692604</v>
      </c>
      <c r="J152" s="1">
        <v>99.71</v>
      </c>
      <c r="K152" s="23">
        <f t="shared" si="15"/>
        <v>15.025122882721945</v>
      </c>
    </row>
    <row r="153" spans="1:11" x14ac:dyDescent="0.3">
      <c r="A153" s="18">
        <v>44743</v>
      </c>
      <c r="B153" s="1">
        <v>-0.77</v>
      </c>
      <c r="C153" s="2">
        <f t="shared" si="12"/>
        <v>99.23</v>
      </c>
      <c r="D153" s="21">
        <f t="shared" si="14"/>
        <v>255.39356991548811</v>
      </c>
      <c r="E153" s="35">
        <v>113.75</v>
      </c>
      <c r="F153" s="28">
        <v>255.75277512982601</v>
      </c>
      <c r="G153" s="2">
        <f t="shared" si="13"/>
        <v>100.01373072503246</v>
      </c>
      <c r="H153" s="23">
        <f t="shared" si="16"/>
        <v>-2.7555545122628047</v>
      </c>
      <c r="J153" s="1">
        <v>99.93</v>
      </c>
      <c r="K153" s="23">
        <f t="shared" si="15"/>
        <v>1.8149245011961739</v>
      </c>
    </row>
    <row r="154" spans="1:11" x14ac:dyDescent="0.3">
      <c r="A154" s="18">
        <v>44774</v>
      </c>
      <c r="B154" s="1">
        <v>-0.56999999999999995</v>
      </c>
      <c r="C154" s="2">
        <f t="shared" si="12"/>
        <v>99.43</v>
      </c>
      <c r="D154" s="21">
        <f t="shared" si="14"/>
        <v>253.93782656696985</v>
      </c>
      <c r="E154" s="35">
        <v>112.92</v>
      </c>
      <c r="F154" s="28">
        <v>256.42745011225497</v>
      </c>
      <c r="G154" s="2">
        <f t="shared" si="13"/>
        <v>100.26379967219769</v>
      </c>
      <c r="H154" s="23">
        <f t="shared" si="16"/>
        <v>-0.59510447308275616</v>
      </c>
      <c r="J154" s="1">
        <v>100.03</v>
      </c>
      <c r="K154" s="23">
        <f t="shared" si="15"/>
        <v>-1.3120432096545329</v>
      </c>
    </row>
    <row r="155" spans="1:11" x14ac:dyDescent="0.3">
      <c r="A155" s="18">
        <v>44805</v>
      </c>
      <c r="B155" s="1">
        <v>0.33</v>
      </c>
      <c r="C155" s="2">
        <f t="shared" si="12"/>
        <v>100.33</v>
      </c>
      <c r="D155" s="21">
        <f t="shared" si="14"/>
        <v>254.77582139464084</v>
      </c>
      <c r="E155" s="35">
        <v>112.46000000000001</v>
      </c>
      <c r="F155" s="28">
        <v>257.73776066704602</v>
      </c>
      <c r="G155" s="2">
        <f t="shared" si="13"/>
        <v>100.51098685192143</v>
      </c>
      <c r="H155" s="23">
        <f t="shared" si="16"/>
        <v>3.200066539869681</v>
      </c>
      <c r="J155" s="1">
        <v>100.63</v>
      </c>
      <c r="K155" s="23">
        <f t="shared" si="15"/>
        <v>2.3856954220261315</v>
      </c>
    </row>
    <row r="156" spans="1:11" x14ac:dyDescent="0.3">
      <c r="A156" s="18">
        <v>44835</v>
      </c>
      <c r="B156" s="1">
        <v>0.66</v>
      </c>
      <c r="C156" s="2">
        <f t="shared" si="12"/>
        <v>100.66</v>
      </c>
      <c r="D156" s="21">
        <f t="shared" si="14"/>
        <v>256.45734181584544</v>
      </c>
      <c r="E156" s="35">
        <v>112.17</v>
      </c>
      <c r="F156" s="28">
        <v>258.16378603371101</v>
      </c>
      <c r="G156" s="2">
        <f t="shared" si="13"/>
        <v>100.16529412126589</v>
      </c>
      <c r="H156" s="23">
        <f t="shared" si="16"/>
        <v>3.8258127769097285</v>
      </c>
      <c r="J156" s="1">
        <v>100.53</v>
      </c>
      <c r="K156" s="23">
        <f t="shared" si="15"/>
        <v>4.8652327588411026</v>
      </c>
    </row>
    <row r="157" spans="1:11" x14ac:dyDescent="0.3">
      <c r="A157" s="18">
        <v>44866</v>
      </c>
      <c r="B157" s="1">
        <v>0.26</v>
      </c>
      <c r="C157" s="2">
        <f t="shared" si="12"/>
        <v>100.26</v>
      </c>
      <c r="D157" s="21">
        <f t="shared" si="14"/>
        <v>257.12413090456664</v>
      </c>
      <c r="E157" s="35">
        <v>111.51</v>
      </c>
      <c r="F157" s="28">
        <v>259.34953183859</v>
      </c>
      <c r="G157" s="2">
        <f t="shared" si="13"/>
        <v>100.45929982012434</v>
      </c>
      <c r="H157" s="23">
        <f t="shared" si="16"/>
        <v>4.6380931375866794</v>
      </c>
      <c r="J157" s="1">
        <v>99.94</v>
      </c>
      <c r="K157" s="23">
        <f t="shared" si="15"/>
        <v>4.4898268518457058</v>
      </c>
    </row>
    <row r="158" spans="1:11" x14ac:dyDescent="0.3">
      <c r="A158" s="18">
        <v>44896</v>
      </c>
      <c r="B158" s="1">
        <v>0.56999999999999995</v>
      </c>
      <c r="C158" s="2">
        <f t="shared" si="12"/>
        <v>100.57</v>
      </c>
      <c r="D158" s="21">
        <f t="shared" si="14"/>
        <v>258.58973845072268</v>
      </c>
      <c r="E158" s="35">
        <v>111.9</v>
      </c>
      <c r="F158" s="28">
        <v>261.20215889275801</v>
      </c>
      <c r="G158" s="2">
        <f t="shared" si="13"/>
        <v>100.714335993219</v>
      </c>
      <c r="H158" s="23">
        <f t="shared" si="16"/>
        <v>5.4891624698196182</v>
      </c>
      <c r="J158" s="1">
        <v>100.25</v>
      </c>
      <c r="K158" s="23">
        <f t="shared" si="15"/>
        <v>2.9183217766154144</v>
      </c>
    </row>
    <row r="159" spans="1:11" x14ac:dyDescent="0.3">
      <c r="A159" s="18">
        <v>44927</v>
      </c>
      <c r="B159" s="1">
        <v>1.1299999999999999</v>
      </c>
      <c r="C159" s="2">
        <f t="shared" si="12"/>
        <v>101.13</v>
      </c>
      <c r="D159" s="21">
        <f t="shared" si="14"/>
        <v>261.51180249521582</v>
      </c>
      <c r="E159" s="35">
        <v>111.8</v>
      </c>
      <c r="F159" s="28">
        <v>262.35161836646699</v>
      </c>
      <c r="G159" s="2">
        <f t="shared" si="13"/>
        <v>100.4400650739571</v>
      </c>
      <c r="H159" s="23">
        <f t="shared" si="16"/>
        <v>6.649231542845385</v>
      </c>
      <c r="J159" s="1">
        <v>100.64</v>
      </c>
      <c r="K159" s="23">
        <f t="shared" si="15"/>
        <v>3.370988146962361</v>
      </c>
    </row>
    <row r="160" spans="1:11" x14ac:dyDescent="0.3">
      <c r="A160" s="18">
        <v>44958</v>
      </c>
      <c r="B160" s="1">
        <v>0.75</v>
      </c>
      <c r="C160" s="2">
        <f t="shared" si="12"/>
        <v>100.75</v>
      </c>
      <c r="D160" s="21">
        <f t="shared" si="14"/>
        <v>263.47314101392993</v>
      </c>
      <c r="E160" s="35">
        <v>111.59</v>
      </c>
      <c r="F160" s="28">
        <v>262.93352485981899</v>
      </c>
      <c r="G160" s="2">
        <f t="shared" si="13"/>
        <v>100.22180404183334</v>
      </c>
      <c r="H160" s="23">
        <f t="shared" si="16"/>
        <v>5.6458552631250711</v>
      </c>
      <c r="J160" s="1">
        <v>100.36</v>
      </c>
      <c r="K160" s="23">
        <f t="shared" si="15"/>
        <v>5.1161897881733722</v>
      </c>
    </row>
    <row r="161" spans="1:37" x14ac:dyDescent="0.3">
      <c r="A161" s="18">
        <v>44986</v>
      </c>
      <c r="B161" s="1">
        <v>0.39</v>
      </c>
      <c r="C161" s="2">
        <f t="shared" si="12"/>
        <v>100.39</v>
      </c>
      <c r="D161" s="21">
        <f t="shared" si="14"/>
        <v>264.50068626388429</v>
      </c>
      <c r="E161" s="35">
        <v>106.14</v>
      </c>
      <c r="F161" s="28">
        <v>264.46637346476899</v>
      </c>
      <c r="G161" s="2">
        <f t="shared" si="13"/>
        <v>100.58297952144643</v>
      </c>
      <c r="H161" s="23">
        <f t="shared" si="16"/>
        <v>5.0946220257855117</v>
      </c>
      <c r="J161" s="1">
        <v>100</v>
      </c>
      <c r="K161" s="23">
        <f t="shared" si="15"/>
        <v>4.0741542919789566</v>
      </c>
    </row>
    <row r="162" spans="1:37" x14ac:dyDescent="0.3">
      <c r="A162" s="18">
        <v>45017</v>
      </c>
      <c r="B162" s="1">
        <v>0.72</v>
      </c>
      <c r="C162" s="2">
        <f t="shared" si="12"/>
        <v>100.72</v>
      </c>
      <c r="D162" s="21">
        <f t="shared" si="14"/>
        <v>266.40509120498422</v>
      </c>
      <c r="E162" s="35">
        <v>103.51</v>
      </c>
      <c r="F162" s="28">
        <v>264.20908692876702</v>
      </c>
      <c r="G162" s="2">
        <f t="shared" si="13"/>
        <v>99.902714839459065</v>
      </c>
      <c r="H162" s="23">
        <f t="shared" si="16"/>
        <v>2.8669909999592136</v>
      </c>
      <c r="J162" s="1">
        <v>100.54</v>
      </c>
      <c r="K162" s="23">
        <f t="shared" si="15"/>
        <v>3.659998028813277</v>
      </c>
    </row>
    <row r="163" spans="1:37" x14ac:dyDescent="0.3">
      <c r="A163" s="18">
        <v>45047</v>
      </c>
      <c r="B163" s="1">
        <v>-0.25</v>
      </c>
      <c r="C163" s="2">
        <f t="shared" si="12"/>
        <v>99.75</v>
      </c>
      <c r="D163" s="21">
        <f t="shared" si="14"/>
        <v>265.73907847697177</v>
      </c>
      <c r="E163" s="35">
        <v>102.55</v>
      </c>
      <c r="F163" s="28">
        <v>266.396599975821</v>
      </c>
      <c r="G163" s="2">
        <f t="shared" ref="G163:G218" si="17">F163/F162*100</f>
        <v>100.82794769569897</v>
      </c>
      <c r="H163" s="23">
        <f t="shared" si="16"/>
        <v>5.3829817177821866</v>
      </c>
      <c r="J163" s="1">
        <v>99.83</v>
      </c>
      <c r="K163" s="23">
        <f t="shared" si="15"/>
        <v>1.4900807209066329</v>
      </c>
    </row>
    <row r="164" spans="1:37" x14ac:dyDescent="0.3">
      <c r="A164" s="18">
        <v>45078</v>
      </c>
      <c r="B164" s="1">
        <v>0.43</v>
      </c>
      <c r="C164" s="2">
        <f t="shared" si="12"/>
        <v>100.43</v>
      </c>
      <c r="D164" s="21">
        <f t="shared" si="14"/>
        <v>266.88175651442276</v>
      </c>
      <c r="E164" s="35">
        <v>103.69</v>
      </c>
      <c r="F164" s="28">
        <v>268.58744533941302</v>
      </c>
      <c r="G164" s="2">
        <f t="shared" si="17"/>
        <v>100.82239989691718</v>
      </c>
      <c r="H164" s="23">
        <f t="shared" si="16"/>
        <v>6.3922180805784876</v>
      </c>
      <c r="J164" s="1">
        <v>100.78</v>
      </c>
      <c r="K164" s="23">
        <f t="shared" si="15"/>
        <v>4.698233319035694</v>
      </c>
    </row>
    <row r="165" spans="1:37" x14ac:dyDescent="0.3">
      <c r="A165" s="18">
        <v>45108</v>
      </c>
      <c r="B165" s="1">
        <v>0.5</v>
      </c>
      <c r="C165" s="2">
        <f t="shared" si="12"/>
        <v>100.5</v>
      </c>
      <c r="D165" s="21">
        <f t="shared" si="14"/>
        <v>268.21616529699486</v>
      </c>
      <c r="E165" s="35">
        <v>105.03</v>
      </c>
      <c r="F165" s="28">
        <v>269.99097287346001</v>
      </c>
      <c r="G165" s="2">
        <f t="shared" si="17"/>
        <v>100.52255887548034</v>
      </c>
      <c r="H165" s="23">
        <f t="shared" si="16"/>
        <v>9.0463682159222856</v>
      </c>
      <c r="J165" s="1">
        <v>101.45</v>
      </c>
      <c r="K165" s="23">
        <f t="shared" si="15"/>
        <v>8.5584315630921139</v>
      </c>
    </row>
    <row r="166" spans="1:37" ht="15.7" customHeight="1" x14ac:dyDescent="0.3">
      <c r="A166" s="18">
        <v>45139</v>
      </c>
      <c r="B166" s="1">
        <v>-7.0000000000000007E-2</v>
      </c>
      <c r="C166" s="2">
        <f t="shared" si="12"/>
        <v>99.93</v>
      </c>
      <c r="D166" s="21">
        <f t="shared" si="14"/>
        <v>268.02841398128697</v>
      </c>
      <c r="E166" s="35">
        <v>105.56</v>
      </c>
      <c r="F166" s="28">
        <v>274.44912804167899</v>
      </c>
      <c r="G166" s="2">
        <f t="shared" si="17"/>
        <v>101.65122378751101</v>
      </c>
      <c r="H166" s="23">
        <f t="shared" si="16"/>
        <v>12.665468205328793</v>
      </c>
      <c r="J166" s="1">
        <v>100.62</v>
      </c>
      <c r="K166" s="23">
        <f t="shared" si="15"/>
        <v>12.01492162741765</v>
      </c>
    </row>
    <row r="167" spans="1:37" x14ac:dyDescent="0.3">
      <c r="A167" s="18">
        <v>45170</v>
      </c>
      <c r="B167" s="1">
        <v>1.75</v>
      </c>
      <c r="C167" s="2">
        <f t="shared" si="12"/>
        <v>101.75</v>
      </c>
      <c r="D167" s="21">
        <f t="shared" si="14"/>
        <v>272.71891122595952</v>
      </c>
      <c r="E167" s="35">
        <v>107.05</v>
      </c>
      <c r="F167" s="28">
        <v>275.26515419785801</v>
      </c>
      <c r="G167" s="2">
        <f t="shared" si="17"/>
        <v>100.29733239161725</v>
      </c>
      <c r="H167" s="23">
        <f t="shared" si="16"/>
        <v>10.344789757704788</v>
      </c>
      <c r="J167" s="1">
        <v>102.01</v>
      </c>
      <c r="K167" s="23">
        <f t="shared" si="15"/>
        <v>17.597806877008068</v>
      </c>
      <c r="O167" s="18">
        <v>44256</v>
      </c>
      <c r="P167" s="18">
        <v>44896</v>
      </c>
      <c r="Q167" s="18">
        <v>44986</v>
      </c>
      <c r="R167" s="18">
        <v>45078</v>
      </c>
      <c r="S167" s="18">
        <v>45170</v>
      </c>
      <c r="T167" s="18">
        <v>45261</v>
      </c>
      <c r="U167" s="18">
        <v>45352</v>
      </c>
      <c r="V167" s="18">
        <v>45444</v>
      </c>
      <c r="W167" s="18">
        <v>45536</v>
      </c>
      <c r="X167" s="18">
        <v>45627</v>
      </c>
      <c r="Y167" s="18">
        <v>45717</v>
      </c>
      <c r="Z167" s="18">
        <v>45809</v>
      </c>
      <c r="AA167" s="18">
        <v>45901</v>
      </c>
      <c r="AB167" s="18">
        <v>45992</v>
      </c>
      <c r="AC167" s="18">
        <v>46082</v>
      </c>
      <c r="AD167" s="18">
        <v>46174</v>
      </c>
      <c r="AE167" s="18">
        <v>46266</v>
      </c>
      <c r="AF167" s="18">
        <v>46357</v>
      </c>
      <c r="AG167" s="18">
        <v>46447</v>
      </c>
      <c r="AH167" s="18">
        <v>46539</v>
      </c>
      <c r="AI167" s="18">
        <v>46631</v>
      </c>
      <c r="AJ167" s="18">
        <v>46722</v>
      </c>
      <c r="AK167" s="18"/>
    </row>
    <row r="168" spans="1:37" x14ac:dyDescent="0.3">
      <c r="A168" s="18">
        <v>45200</v>
      </c>
      <c r="B168" s="1">
        <v>0.46</v>
      </c>
      <c r="C168" s="2">
        <f t="shared" si="12"/>
        <v>100.46</v>
      </c>
      <c r="D168" s="21">
        <f t="shared" si="14"/>
        <v>273.97341821759892</v>
      </c>
      <c r="E168" s="35">
        <v>106.84</v>
      </c>
      <c r="F168" s="28">
        <v>277.04336474851999</v>
      </c>
      <c r="G168" s="2">
        <f t="shared" si="17"/>
        <v>100.64599914792839</v>
      </c>
      <c r="H168" s="23">
        <f>AVERAGE(G166:G168)^12/100^11-100</f>
        <v>10.886392785718812</v>
      </c>
      <c r="J168" s="1">
        <v>100.32</v>
      </c>
      <c r="K168" s="23">
        <f t="shared" si="15"/>
        <v>12.459571746567661</v>
      </c>
      <c r="O168" s="119">
        <v>2021</v>
      </c>
      <c r="P168" s="120"/>
      <c r="Q168" s="121">
        <v>2023</v>
      </c>
      <c r="R168" s="122"/>
      <c r="S168" s="122"/>
      <c r="T168" s="123"/>
      <c r="U168" s="121">
        <v>2024</v>
      </c>
      <c r="V168" s="122"/>
      <c r="W168" s="122"/>
      <c r="X168" s="123"/>
      <c r="Y168" s="121">
        <v>2025</v>
      </c>
      <c r="Z168" s="122"/>
      <c r="AA168" s="122"/>
      <c r="AB168" s="123"/>
      <c r="AC168" s="121">
        <v>2026</v>
      </c>
      <c r="AD168" s="122"/>
      <c r="AE168" s="122"/>
      <c r="AF168" s="123"/>
      <c r="AG168" s="121">
        <v>2027</v>
      </c>
      <c r="AH168" s="122"/>
      <c r="AI168" s="122"/>
      <c r="AJ168" s="123"/>
    </row>
    <row r="169" spans="1:37" x14ac:dyDescent="0.3">
      <c r="A169" s="18">
        <v>45231</v>
      </c>
      <c r="B169" s="1">
        <v>0.74</v>
      </c>
      <c r="C169" s="2">
        <f t="shared" si="12"/>
        <v>100.74</v>
      </c>
      <c r="D169" s="21">
        <f t="shared" si="14"/>
        <v>276.00082151240912</v>
      </c>
      <c r="E169" s="35">
        <v>107.34</v>
      </c>
      <c r="F169" s="28">
        <v>277.60789051429498</v>
      </c>
      <c r="G169" s="2">
        <f t="shared" si="17"/>
        <v>100.20376801526629</v>
      </c>
      <c r="H169" s="23">
        <f>AVERAGE(G167:G169)^12/100^11-100</f>
        <v>4.6861334856692594</v>
      </c>
      <c r="I169" s="2">
        <f>AVERAGE(G158:G169)^12/100^11-100</f>
        <v>7.0512472031626316</v>
      </c>
      <c r="J169" s="1">
        <v>100.36</v>
      </c>
      <c r="K169" s="23">
        <f t="shared" si="15"/>
        <v>11.306832416392425</v>
      </c>
      <c r="O169" s="24" t="s">
        <v>24</v>
      </c>
      <c r="P169" s="24" t="s">
        <v>27</v>
      </c>
      <c r="Q169" s="24" t="s">
        <v>24</v>
      </c>
      <c r="R169" s="24" t="s">
        <v>25</v>
      </c>
      <c r="S169" s="24" t="s">
        <v>26</v>
      </c>
      <c r="T169" s="24" t="s">
        <v>27</v>
      </c>
      <c r="U169" s="24" t="s">
        <v>24</v>
      </c>
      <c r="V169" s="24" t="s">
        <v>25</v>
      </c>
      <c r="W169" s="24" t="s">
        <v>26</v>
      </c>
      <c r="X169" s="24" t="s">
        <v>27</v>
      </c>
      <c r="Y169" s="24" t="s">
        <v>24</v>
      </c>
      <c r="Z169" s="24" t="s">
        <v>25</v>
      </c>
      <c r="AA169" s="24" t="s">
        <v>26</v>
      </c>
      <c r="AB169" s="24" t="s">
        <v>27</v>
      </c>
      <c r="AC169" s="24" t="s">
        <v>24</v>
      </c>
      <c r="AD169" s="24" t="s">
        <v>25</v>
      </c>
      <c r="AE169" s="24" t="s">
        <v>26</v>
      </c>
      <c r="AF169" s="24" t="s">
        <v>27</v>
      </c>
      <c r="AG169" s="24" t="s">
        <v>24</v>
      </c>
      <c r="AH169" s="24" t="s">
        <v>25</v>
      </c>
      <c r="AI169" s="24" t="s">
        <v>26</v>
      </c>
      <c r="AJ169" s="24" t="s">
        <v>27</v>
      </c>
    </row>
    <row r="170" spans="1:37" x14ac:dyDescent="0.3">
      <c r="A170" s="18">
        <v>45261</v>
      </c>
      <c r="B170" s="1">
        <v>0.28999999999999998</v>
      </c>
      <c r="C170" s="2">
        <f>B170+100</f>
        <v>100.29</v>
      </c>
      <c r="D170" s="21">
        <f t="shared" si="14"/>
        <v>276.8012238947951</v>
      </c>
      <c r="E170" s="35">
        <v>107.05</v>
      </c>
      <c r="F170" s="28">
        <v>278.83822033954999</v>
      </c>
      <c r="G170" s="2">
        <f t="shared" si="17"/>
        <v>100.44318978937368</v>
      </c>
      <c r="H170" s="23">
        <f>AVERAGE(G168:G170)^12/100^11-100</f>
        <v>5.2962003139084572</v>
      </c>
      <c r="I170" s="2">
        <f>AVERAGE(G159:G170)^12/100^11-100</f>
        <v>6.7629816904984068</v>
      </c>
      <c r="J170" s="1">
        <v>100.23</v>
      </c>
      <c r="K170" s="23">
        <f t="shared" si="15"/>
        <v>3.7013455652513159</v>
      </c>
      <c r="N170" s="20" t="s">
        <v>21</v>
      </c>
      <c r="O170" s="25">
        <f t="shared" ref="O170:AF170" si="18">SUMIFS($K$5:$K$206,$A$5:$A$206,O$167)</f>
        <v>6.5911112084870638</v>
      </c>
      <c r="P170" s="25">
        <f t="shared" si="18"/>
        <v>2.9183217766154144</v>
      </c>
      <c r="Q170" s="25">
        <f t="shared" si="18"/>
        <v>4.0741542919789566</v>
      </c>
      <c r="R170" s="25">
        <f t="shared" si="18"/>
        <v>4.698233319035694</v>
      </c>
      <c r="S170" s="25">
        <f t="shared" si="18"/>
        <v>17.597806877008068</v>
      </c>
      <c r="T170" s="25">
        <f t="shared" si="18"/>
        <v>3.7013455652513159</v>
      </c>
      <c r="U170" s="25">
        <f t="shared" si="18"/>
        <v>2.6312081965144358</v>
      </c>
      <c r="V170" s="25">
        <f t="shared" si="18"/>
        <v>7.1437534623089078</v>
      </c>
      <c r="W170" s="25">
        <f t="shared" si="18"/>
        <v>14.797946492624945</v>
      </c>
      <c r="X170" s="25">
        <f t="shared" si="18"/>
        <v>12.548695692601882</v>
      </c>
      <c r="Y170" s="25">
        <f t="shared" si="18"/>
        <v>6.2100447289712548</v>
      </c>
      <c r="Z170" s="25">
        <f t="shared" si="18"/>
        <v>2.2223194589968784</v>
      </c>
      <c r="AA170" s="25">
        <f t="shared" si="18"/>
        <v>10.121229612681859</v>
      </c>
      <c r="AB170" s="25">
        <f t="shared" si="18"/>
        <v>2.8362142875854346</v>
      </c>
      <c r="AC170" s="25">
        <f t="shared" si="18"/>
        <v>5.1452369500638611</v>
      </c>
      <c r="AD170" s="25">
        <f t="shared" si="18"/>
        <v>2.7635131646613331</v>
      </c>
      <c r="AE170" s="25">
        <f t="shared" si="18"/>
        <v>7.7297463355720311</v>
      </c>
      <c r="AF170" s="25">
        <f t="shared" si="18"/>
        <v>4.1819232292448447</v>
      </c>
      <c r="AG170" s="25">
        <f>SUMIFS($K$5:$K$218,$A$5:$A$218,AG$167)</f>
        <v>4.1585963659256464</v>
      </c>
      <c r="AH170" s="25">
        <f>SUMIFS($K$5:$K$218,$A$5:$A$218,AH$167)</f>
        <v>5.0211403531944114</v>
      </c>
      <c r="AI170" s="25">
        <f>SUMIFS($K$5:$K$218,$A$5:$A$218,AI$167)</f>
        <v>4.5472890611309111</v>
      </c>
      <c r="AJ170" s="25">
        <f>SUMIFS($K$5:$K$218,$A$5:$A$218,AJ$167)</f>
        <v>1.9485660038578061</v>
      </c>
    </row>
    <row r="171" spans="1:37" x14ac:dyDescent="0.3">
      <c r="A171" s="18">
        <v>45292</v>
      </c>
      <c r="B171" s="1">
        <v>0.87</v>
      </c>
      <c r="C171" s="2">
        <f>B171+100</f>
        <v>100.87</v>
      </c>
      <c r="D171" s="21">
        <f t="shared" si="14"/>
        <v>279.20939454267983</v>
      </c>
      <c r="E171" s="36">
        <v>106.77</v>
      </c>
      <c r="F171" s="28">
        <v>279.42434135955801</v>
      </c>
      <c r="G171" s="2">
        <f t="shared" si="17"/>
        <v>100.21020110488952</v>
      </c>
      <c r="H171" s="23">
        <f t="shared" si="16"/>
        <v>3.4830316695383061</v>
      </c>
      <c r="I171" s="2">
        <f t="shared" ref="I171:I218" si="19">AVERAGE(G160:G171)^12/100^11-100</f>
        <v>6.5191623256841353</v>
      </c>
      <c r="J171" s="1">
        <v>100.36</v>
      </c>
      <c r="K171" s="23">
        <f t="shared" si="15"/>
        <v>3.8668869380362452</v>
      </c>
      <c r="N171" s="19" t="s">
        <v>2</v>
      </c>
      <c r="O171" s="25">
        <f t="shared" ref="O171:AF171" si="20">IF(SUMIFS($E$5:$E$206,$A$5:$A$206,O$167)&gt;90,SUMIFS($E$5:$E$206,$A$5:$A$206,O$167)-100,SUMIFS($E$5:$E$206,$A$5:$A$206,O$167))</f>
        <v>6.8299999999999983</v>
      </c>
      <c r="P171" s="25">
        <f t="shared" si="20"/>
        <v>11.900000000000006</v>
      </c>
      <c r="Q171" s="25">
        <f t="shared" si="20"/>
        <v>6.1400000000000006</v>
      </c>
      <c r="R171" s="25">
        <f t="shared" si="20"/>
        <v>3.6899999999999977</v>
      </c>
      <c r="S171" s="25">
        <f t="shared" si="20"/>
        <v>7.0499999999999972</v>
      </c>
      <c r="T171" s="25">
        <f t="shared" si="20"/>
        <v>7.0499999999999972</v>
      </c>
      <c r="U171" s="25">
        <f t="shared" si="20"/>
        <v>6.6800000000000068</v>
      </c>
      <c r="V171" s="25">
        <f t="shared" si="20"/>
        <v>7.3299999999999983</v>
      </c>
      <c r="W171" s="25">
        <f t="shared" si="20"/>
        <v>6.9099999999999966</v>
      </c>
      <c r="X171" s="25">
        <f t="shared" si="20"/>
        <v>8.980000000000004</v>
      </c>
      <c r="Y171" s="25">
        <f t="shared" si="20"/>
        <v>10.129999999999995</v>
      </c>
      <c r="Z171" s="25">
        <f t="shared" si="20"/>
        <v>8.9599999999999937</v>
      </c>
      <c r="AA171" s="25">
        <f t="shared" si="20"/>
        <v>7.8799999999999955</v>
      </c>
      <c r="AB171" s="25">
        <f t="shared" si="20"/>
        <v>5.2800000000000011</v>
      </c>
      <c r="AC171" s="25">
        <f t="shared" si="20"/>
        <v>5.5400000000000063</v>
      </c>
      <c r="AD171" s="25">
        <f t="shared" si="20"/>
        <v>5.2199999999999989</v>
      </c>
      <c r="AE171" s="25">
        <f t="shared" si="20"/>
        <v>4.6099999999999994</v>
      </c>
      <c r="AF171" s="25">
        <f t="shared" si="20"/>
        <v>5.6299999999999955</v>
      </c>
      <c r="AG171" s="25">
        <f>IF(SUMIFS($E$5:$E$218,$A$5:$A$218,AG$167)&gt;90,SUMIFS($E$5:$E$218,$A$5:$A$218,AG$167)-100,SUMIFS($E$5:$E$218,$A$5:$A$218,AG$167))</f>
        <v>4.4500000000000028</v>
      </c>
      <c r="AH171" s="25">
        <f>IF(SUMIFS($E$5:$E$218,$A$5:$A$218,AH$167)&gt;90,SUMIFS($E$5:$E$218,$A$5:$A$218,AH$167)-100,SUMIFS($E$5:$E$218,$A$5:$A$218,AH$167))</f>
        <v>5.1099999999999994</v>
      </c>
      <c r="AI171" s="25">
        <f>IF(SUMIFS($E$5:$E$218,$A$5:$A$218,AI$167)&gt;90,SUMIFS($E$5:$E$218,$A$5:$A$218,AI$167)-100,SUMIFS($E$5:$E$218,$A$5:$A$218,AI$167))</f>
        <v>5.3700000000000045</v>
      </c>
      <c r="AJ171" s="25">
        <f>IF(SUMIFS($E$5:$E$218,$A$5:$A$218,AJ$167)&gt;90,SUMIFS($E$5:$E$218,$A$5:$A$218,AJ$167)-100,SUMIFS($E$5:$E$218,$A$5:$A$218,AJ$167))</f>
        <v>4.019999999999996</v>
      </c>
    </row>
    <row r="172" spans="1:37" x14ac:dyDescent="0.3">
      <c r="A172" s="18">
        <v>45323</v>
      </c>
      <c r="B172" s="1">
        <v>0.53</v>
      </c>
      <c r="C172" s="8">
        <f>Прогноз!E28</f>
        <v>100.53</v>
      </c>
      <c r="D172" s="21">
        <f t="shared" si="14"/>
        <v>280.68920433375604</v>
      </c>
      <c r="E172" s="36">
        <v>106.54</v>
      </c>
      <c r="F172" s="28">
        <v>280.456669628795</v>
      </c>
      <c r="G172" s="2">
        <f t="shared" si="17"/>
        <v>100.36944822495211</v>
      </c>
      <c r="H172" s="23">
        <f t="shared" si="16"/>
        <v>4.1689564542244568</v>
      </c>
      <c r="I172" s="2">
        <f t="shared" si="19"/>
        <v>6.67571150850533</v>
      </c>
      <c r="J172" s="1">
        <v>100.09</v>
      </c>
      <c r="K172" s="23">
        <f t="shared" si="15"/>
        <v>2.7541668485761903</v>
      </c>
    </row>
    <row r="173" spans="1:37" x14ac:dyDescent="0.3">
      <c r="A173" s="18">
        <v>45352</v>
      </c>
      <c r="B173" s="1">
        <v>0.53</v>
      </c>
      <c r="C173" s="8">
        <f>Прогноз!E29</f>
        <v>100.53</v>
      </c>
      <c r="D173" s="21">
        <f t="shared" si="14"/>
        <v>282.17685711672493</v>
      </c>
      <c r="E173" s="36">
        <v>106.68</v>
      </c>
      <c r="F173" s="28">
        <v>281.22829088567403</v>
      </c>
      <c r="G173" s="2">
        <f t="shared" si="17"/>
        <v>100.27513029299688</v>
      </c>
      <c r="H173" s="23">
        <f t="shared" si="16"/>
        <v>3.4732115239874446</v>
      </c>
      <c r="I173" s="2">
        <f t="shared" si="19"/>
        <v>6.3495329381083394</v>
      </c>
      <c r="J173" s="1">
        <v>100.2</v>
      </c>
      <c r="K173" s="23">
        <f t="shared" si="15"/>
        <v>2.6312081965144358</v>
      </c>
    </row>
    <row r="174" spans="1:37" x14ac:dyDescent="0.3">
      <c r="A174" s="18">
        <v>45383</v>
      </c>
      <c r="C174" s="8">
        <f>Прогноз!E30</f>
        <v>100.38</v>
      </c>
      <c r="D174" s="21">
        <f t="shared" si="14"/>
        <v>283.24912917376849</v>
      </c>
      <c r="E174" s="36">
        <v>106.32</v>
      </c>
      <c r="F174" s="28">
        <v>284.34410079840899</v>
      </c>
      <c r="G174" s="2">
        <f t="shared" si="17"/>
        <v>101.10792904331294</v>
      </c>
      <c r="H174" s="23">
        <f t="shared" si="16"/>
        <v>7.2397015310548909</v>
      </c>
      <c r="I174" s="2">
        <f t="shared" si="19"/>
        <v>7.6317453457175617</v>
      </c>
      <c r="J174" s="1">
        <v>100.26</v>
      </c>
      <c r="K174" s="23">
        <f t="shared" si="15"/>
        <v>2.2223194589968784</v>
      </c>
    </row>
    <row r="175" spans="1:37" x14ac:dyDescent="0.3">
      <c r="A175" s="18">
        <v>45413</v>
      </c>
      <c r="C175" s="8">
        <f>Прогноз!E31</f>
        <v>100.94</v>
      </c>
      <c r="D175" s="21">
        <f t="shared" si="14"/>
        <v>285.9116709880019</v>
      </c>
      <c r="E175" s="36">
        <v>107.59</v>
      </c>
      <c r="F175" s="28">
        <v>285.98409703717601</v>
      </c>
      <c r="G175" s="2">
        <f t="shared" si="17"/>
        <v>100.57676464331846</v>
      </c>
      <c r="H175" s="23">
        <f t="shared" si="16"/>
        <v>8.1271872830968306</v>
      </c>
      <c r="I175" s="2">
        <f t="shared" si="19"/>
        <v>7.3633517496859469</v>
      </c>
      <c r="J175" s="1">
        <v>100.97</v>
      </c>
      <c r="K175" s="23">
        <f t="shared" si="15"/>
        <v>5.8723677708212563</v>
      </c>
    </row>
    <row r="176" spans="1:37" x14ac:dyDescent="0.3">
      <c r="A176" s="18">
        <v>45444</v>
      </c>
      <c r="C176" s="8">
        <f>Прогноз!E32</f>
        <v>100.18</v>
      </c>
      <c r="D176" s="21">
        <f t="shared" si="14"/>
        <v>286.42631199578028</v>
      </c>
      <c r="E176" s="36">
        <v>107.33</v>
      </c>
      <c r="F176" s="28">
        <v>289.91972598521801</v>
      </c>
      <c r="G176" s="2">
        <f t="shared" si="17"/>
        <v>101.37617055941763</v>
      </c>
      <c r="H176" s="23">
        <f t="shared" si="16"/>
        <v>12.954420547057609</v>
      </c>
      <c r="I176" s="2">
        <f t="shared" si="19"/>
        <v>7.9558822936187568</v>
      </c>
      <c r="J176" s="1">
        <v>100.5</v>
      </c>
      <c r="K176" s="23">
        <f t="shared" si="15"/>
        <v>7.1437534623089078</v>
      </c>
    </row>
    <row r="177" spans="1:11" x14ac:dyDescent="0.3">
      <c r="A177" s="18">
        <v>45474</v>
      </c>
      <c r="C177" s="8">
        <f>Прогноз!E33</f>
        <v>101.07</v>
      </c>
      <c r="D177" s="21">
        <f t="shared" si="14"/>
        <v>289.49107353413513</v>
      </c>
      <c r="E177" s="36">
        <v>107.94</v>
      </c>
      <c r="F177" s="28">
        <v>291.92144928178402</v>
      </c>
      <c r="G177" s="2">
        <f t="shared" si="17"/>
        <v>100.6904405313449</v>
      </c>
      <c r="H177" s="23">
        <f t="shared" si="16"/>
        <v>11.101267445937353</v>
      </c>
      <c r="I177" s="2">
        <f t="shared" si="19"/>
        <v>8.1361056620039847</v>
      </c>
      <c r="J177" s="1">
        <v>101.74</v>
      </c>
      <c r="K177" s="23">
        <f t="shared" si="15"/>
        <v>13.623245038182432</v>
      </c>
    </row>
    <row r="178" spans="1:11" x14ac:dyDescent="0.3">
      <c r="A178" s="18">
        <v>45505</v>
      </c>
      <c r="C178" s="31">
        <f>Прогноз!E34</f>
        <v>100.09</v>
      </c>
      <c r="D178" s="21">
        <f t="shared" si="14"/>
        <v>289.75161550031584</v>
      </c>
      <c r="E178" s="5">
        <f>Прогноз!F34</f>
        <v>108.1</v>
      </c>
      <c r="F178" s="28">
        <v>293.414217304472</v>
      </c>
      <c r="G178" s="2">
        <f t="shared" si="17"/>
        <v>100.51135948604004</v>
      </c>
      <c r="H178" s="23">
        <f t="shared" si="16"/>
        <v>10.813484579047994</v>
      </c>
      <c r="I178" s="2">
        <f t="shared" si="19"/>
        <v>6.9178454813216774</v>
      </c>
      <c r="J178" s="1">
        <v>100.82</v>
      </c>
      <c r="K178" s="23">
        <f t="shared" si="15"/>
        <v>12.950555229212185</v>
      </c>
    </row>
    <row r="179" spans="1:11" x14ac:dyDescent="0.3">
      <c r="A179" s="18">
        <v>45536</v>
      </c>
      <c r="C179" s="31">
        <f>Прогноз!E35</f>
        <v>100.62</v>
      </c>
      <c r="D179" s="21">
        <f t="shared" si="14"/>
        <v>291.54807551641784</v>
      </c>
      <c r="E179" s="5">
        <f>Прогноз!F35</f>
        <v>106.91</v>
      </c>
      <c r="F179" s="28">
        <v>295.88005921593498</v>
      </c>
      <c r="G179" s="2">
        <f t="shared" si="17"/>
        <v>100.84039619283485</v>
      </c>
      <c r="H179" s="23">
        <f t="shared" si="16"/>
        <v>8.4816736316489454</v>
      </c>
      <c r="I179" s="2">
        <f t="shared" si="19"/>
        <v>7.4966813757702795</v>
      </c>
      <c r="J179" s="1">
        <v>100.91</v>
      </c>
      <c r="K179" s="23">
        <f t="shared" si="15"/>
        <v>14.797946492624945</v>
      </c>
    </row>
    <row r="180" spans="1:11" x14ac:dyDescent="0.3">
      <c r="A180" s="18">
        <v>45566</v>
      </c>
      <c r="C180" s="31">
        <f>Прогноз!E36</f>
        <v>101.02</v>
      </c>
      <c r="D180" s="21">
        <f t="shared" si="14"/>
        <v>294.5218658866853</v>
      </c>
      <c r="E180" s="5">
        <f>Прогноз!F36</f>
        <v>107.49</v>
      </c>
      <c r="F180" s="28">
        <v>300.04295106439298</v>
      </c>
      <c r="G180" s="2">
        <f t="shared" si="17"/>
        <v>101.40695248591251</v>
      </c>
      <c r="H180" s="23">
        <f t="shared" si="16"/>
        <v>11.610400153986333</v>
      </c>
      <c r="I180" s="2">
        <f t="shared" si="19"/>
        <v>8.3125927258308394</v>
      </c>
      <c r="J180" s="1">
        <v>100.94</v>
      </c>
      <c r="K180" s="23">
        <f t="shared" si="15"/>
        <v>11.218610360941156</v>
      </c>
    </row>
    <row r="181" spans="1:11" x14ac:dyDescent="0.3">
      <c r="A181" s="18">
        <v>45597</v>
      </c>
      <c r="C181" s="31">
        <f>Прогноз!E37</f>
        <v>101.5</v>
      </c>
      <c r="D181" s="21">
        <f t="shared" si="14"/>
        <v>298.93969387498555</v>
      </c>
      <c r="E181" s="5">
        <f>Прогноз!F37</f>
        <v>108.31</v>
      </c>
      <c r="F181" s="28">
        <v>302.56372569133902</v>
      </c>
      <c r="G181" s="2">
        <f t="shared" si="17"/>
        <v>100.84013792625477</v>
      </c>
      <c r="H181" s="23">
        <f>AVERAGE(G179:G181)^12/100^11-100</f>
        <v>13.073547763569323</v>
      </c>
      <c r="I181" s="2">
        <f t="shared" si="19"/>
        <v>8.9992774184896689</v>
      </c>
      <c r="J181" s="1">
        <v>101.17</v>
      </c>
      <c r="K181" s="23">
        <f t="shared" si="15"/>
        <v>12.771788890309367</v>
      </c>
    </row>
    <row r="182" spans="1:11" x14ac:dyDescent="0.3">
      <c r="A182" s="18">
        <v>45627</v>
      </c>
      <c r="C182" s="31">
        <f>Прогноз!E38</f>
        <v>100.91</v>
      </c>
      <c r="D182" s="21">
        <f t="shared" si="14"/>
        <v>301.66004508924789</v>
      </c>
      <c r="E182" s="5">
        <f>Прогноз!F38</f>
        <v>108.98</v>
      </c>
      <c r="F182" s="28">
        <v>303.759083172251</v>
      </c>
      <c r="G182" s="2">
        <f t="shared" si="17"/>
        <v>100.39507626969515</v>
      </c>
      <c r="H182" s="23">
        <f t="shared" ref="H182:H193" si="21">AVERAGE(G180:G182)^12/100^11-100</f>
        <v>11.095941403741818</v>
      </c>
      <c r="I182" s="2">
        <f t="shared" si="19"/>
        <v>8.947220671103139</v>
      </c>
      <c r="J182" s="1">
        <v>100.86</v>
      </c>
      <c r="K182" s="23">
        <f t="shared" si="15"/>
        <v>12.548695692601882</v>
      </c>
    </row>
    <row r="183" spans="1:11" x14ac:dyDescent="0.3">
      <c r="A183" s="18">
        <v>45658</v>
      </c>
      <c r="C183" s="31">
        <f>Прогноз!E39</f>
        <v>100.84</v>
      </c>
      <c r="D183" s="21">
        <f t="shared" si="14"/>
        <v>304.19398946799754</v>
      </c>
      <c r="E183" s="5">
        <f>Прогноз!F39</f>
        <v>108.95</v>
      </c>
      <c r="F183" s="28">
        <v>306.79535880681101</v>
      </c>
      <c r="G183" s="2">
        <f t="shared" si="17"/>
        <v>100.99956702622725</v>
      </c>
      <c r="H183" s="23">
        <f t="shared" si="21"/>
        <v>9.3146181245120943</v>
      </c>
      <c r="I183" s="2">
        <f t="shared" si="19"/>
        <v>9.8041674317493914</v>
      </c>
      <c r="J183" s="1">
        <v>100.28</v>
      </c>
      <c r="K183" s="23">
        <f t="shared" si="15"/>
        <v>9.6415338967119197</v>
      </c>
    </row>
    <row r="184" spans="1:11" x14ac:dyDescent="0.3">
      <c r="A184" s="18">
        <v>45689</v>
      </c>
      <c r="C184" s="31">
        <f>Прогноз!E40</f>
        <v>101.34</v>
      </c>
      <c r="D184" s="21">
        <f t="shared" si="14"/>
        <v>308.27018892686874</v>
      </c>
      <c r="E184" s="5">
        <f>Прогноз!F40</f>
        <v>109.83</v>
      </c>
      <c r="F184" s="28">
        <v>308.78046798743401</v>
      </c>
      <c r="G184" s="2">
        <f t="shared" si="17"/>
        <v>100.64704667904478</v>
      </c>
      <c r="H184" s="23">
        <f t="shared" si="21"/>
        <v>8.479491814330558</v>
      </c>
      <c r="I184" s="2">
        <f t="shared" si="19"/>
        <v>10.106997721687719</v>
      </c>
      <c r="J184" s="1">
        <v>100.88</v>
      </c>
      <c r="K184" s="23">
        <f t="shared" si="15"/>
        <v>8.3860482222545016</v>
      </c>
    </row>
    <row r="185" spans="1:11" x14ac:dyDescent="0.3">
      <c r="A185" s="18">
        <v>45717</v>
      </c>
      <c r="C185" s="31">
        <f>Прогноз!E41</f>
        <v>100.81</v>
      </c>
      <c r="D185" s="21">
        <f t="shared" si="14"/>
        <v>310.76717745717639</v>
      </c>
      <c r="E185" s="5">
        <f>Прогноз!F41</f>
        <v>110.13</v>
      </c>
      <c r="F185" s="28">
        <v>310.17113296178098</v>
      </c>
      <c r="G185" s="2">
        <f t="shared" si="17"/>
        <v>100.45037336182921</v>
      </c>
      <c r="H185" s="23">
        <f t="shared" si="21"/>
        <v>8.7180540192693172</v>
      </c>
      <c r="I185" s="2">
        <f t="shared" si="19"/>
        <v>10.298563205101345</v>
      </c>
      <c r="J185" s="1">
        <v>100.35</v>
      </c>
      <c r="K185" s="23">
        <f t="shared" si="15"/>
        <v>6.2100447289712548</v>
      </c>
    </row>
    <row r="186" spans="1:11" x14ac:dyDescent="0.3">
      <c r="A186" s="18">
        <v>45748</v>
      </c>
      <c r="C186" s="31">
        <f>Прогноз!E42</f>
        <v>100.53</v>
      </c>
      <c r="D186" s="21">
        <f t="shared" si="14"/>
        <v>312.41424349769943</v>
      </c>
      <c r="E186" s="5">
        <f>Прогноз!F42</f>
        <v>110.3</v>
      </c>
      <c r="F186" s="28">
        <v>310.51698603750901</v>
      </c>
      <c r="G186" s="2">
        <f t="shared" si="17"/>
        <v>100.11150395345483</v>
      </c>
      <c r="H186" s="23">
        <f t="shared" si="21"/>
        <v>4.9443252247900205</v>
      </c>
      <c r="I186" s="2">
        <f t="shared" si="19"/>
        <v>9.21338589984002</v>
      </c>
      <c r="J186" s="1">
        <v>100.25</v>
      </c>
      <c r="K186" s="23">
        <f t="shared" si="15"/>
        <v>6.0833003464610016</v>
      </c>
    </row>
    <row r="187" spans="1:11" x14ac:dyDescent="0.3">
      <c r="A187" s="18">
        <v>45778</v>
      </c>
      <c r="C187" s="31">
        <f>Прогноз!E43</f>
        <v>99.93</v>
      </c>
      <c r="D187" s="21">
        <f t="shared" si="14"/>
        <v>312.19555352725109</v>
      </c>
      <c r="E187" s="5">
        <f>Прогноз!F43</f>
        <v>109.2</v>
      </c>
      <c r="F187" s="28">
        <v>311.62385532009102</v>
      </c>
      <c r="G187" s="2">
        <f t="shared" si="17"/>
        <v>100.35646013981609</v>
      </c>
      <c r="H187" s="23">
        <f t="shared" si="21"/>
        <v>3.7358304444292827</v>
      </c>
      <c r="I187" s="2">
        <f t="shared" si="19"/>
        <v>8.9747837643822237</v>
      </c>
      <c r="J187" s="1">
        <v>99.98</v>
      </c>
      <c r="K187" s="23">
        <f t="shared" si="15"/>
        <v>2.3448290071891051</v>
      </c>
    </row>
    <row r="188" spans="1:11" x14ac:dyDescent="0.3">
      <c r="A188" s="18">
        <v>45809</v>
      </c>
      <c r="C188" s="31">
        <f>Прогноз!E44</f>
        <v>99.96</v>
      </c>
      <c r="D188" s="21">
        <f t="shared" si="14"/>
        <v>312.07067530584015</v>
      </c>
      <c r="E188" s="5">
        <f>Прогноз!F44</f>
        <v>108.96</v>
      </c>
      <c r="F188" s="28">
        <v>313.68493622957101</v>
      </c>
      <c r="G188" s="2">
        <f t="shared" si="17"/>
        <v>100.66140023438285</v>
      </c>
      <c r="H188" s="23">
        <f t="shared" si="21"/>
        <v>4.6121750340692813</v>
      </c>
      <c r="I188" s="2">
        <f t="shared" si="19"/>
        <v>8.2039337095238665</v>
      </c>
      <c r="J188" s="1">
        <v>100.32</v>
      </c>
      <c r="K188" s="23">
        <f t="shared" si="15"/>
        <v>2.2223194589968784</v>
      </c>
    </row>
    <row r="189" spans="1:11" x14ac:dyDescent="0.3">
      <c r="A189" s="18">
        <v>45839</v>
      </c>
      <c r="C189" s="31">
        <f>Прогноз!E45</f>
        <v>100.36</v>
      </c>
      <c r="D189" s="21">
        <f t="shared" si="14"/>
        <v>313.19412973694119</v>
      </c>
      <c r="E189" s="5">
        <f>Прогноз!F45</f>
        <v>108.19</v>
      </c>
      <c r="F189" s="28">
        <v>313.77595652023803</v>
      </c>
      <c r="G189" s="2">
        <f t="shared" si="17"/>
        <v>100.0290164684862</v>
      </c>
      <c r="H189" s="23">
        <f t="shared" si="21"/>
        <v>4.2688193591767885</v>
      </c>
      <c r="I189" s="2">
        <f t="shared" si="19"/>
        <v>7.4950713469472703</v>
      </c>
      <c r="J189" s="1">
        <v>101.01</v>
      </c>
      <c r="K189" s="23">
        <f t="shared" si="15"/>
        <v>5.3676972347860783</v>
      </c>
    </row>
    <row r="190" spans="1:11" x14ac:dyDescent="0.3">
      <c r="A190" s="18">
        <v>45870</v>
      </c>
      <c r="C190" s="31">
        <f>Прогноз!E46</f>
        <v>99.43</v>
      </c>
      <c r="D190" s="21">
        <f t="shared" si="14"/>
        <v>311.40892319744063</v>
      </c>
      <c r="E190" s="5">
        <f>Прогноз!F46</f>
        <v>107.48</v>
      </c>
      <c r="F190" s="28">
        <v>316.54470402368099</v>
      </c>
      <c r="G190" s="2">
        <f t="shared" si="17"/>
        <v>100.88239632320726</v>
      </c>
      <c r="H190" s="23">
        <f t="shared" si="21"/>
        <v>6.4758677018783288</v>
      </c>
      <c r="I190" s="2">
        <f t="shared" si="19"/>
        <v>7.8921935055086294</v>
      </c>
      <c r="J190" s="1">
        <v>100.14</v>
      </c>
      <c r="K190" s="23">
        <f t="shared" si="15"/>
        <v>6.0410830387696421</v>
      </c>
    </row>
    <row r="191" spans="1:11" x14ac:dyDescent="0.3">
      <c r="A191" s="18">
        <v>45901</v>
      </c>
      <c r="C191" s="31">
        <f>Прогноз!E47</f>
        <v>101</v>
      </c>
      <c r="D191" s="21">
        <f t="shared" si="14"/>
        <v>314.52301242941502</v>
      </c>
      <c r="E191" s="5">
        <f>Прогноз!F47</f>
        <v>107.88</v>
      </c>
      <c r="F191" s="28">
        <v>317.60462431833002</v>
      </c>
      <c r="G191" s="2">
        <f t="shared" si="17"/>
        <v>100.3348406342536</v>
      </c>
      <c r="H191" s="23">
        <f t="shared" si="21"/>
        <v>5.1005032028737531</v>
      </c>
      <c r="I191" s="2">
        <f t="shared" si="19"/>
        <v>7.3514267041209962</v>
      </c>
      <c r="J191" s="1">
        <v>101.27</v>
      </c>
      <c r="K191" s="23">
        <f t="shared" si="15"/>
        <v>10.121229612681859</v>
      </c>
    </row>
    <row r="192" spans="1:11" x14ac:dyDescent="0.3">
      <c r="A192" s="18">
        <v>45931</v>
      </c>
      <c r="C192" s="31">
        <f>Прогноз!E48</f>
        <v>100.53</v>
      </c>
      <c r="D192" s="21">
        <f t="shared" si="14"/>
        <v>316.18998439529094</v>
      </c>
      <c r="E192" s="5">
        <f>Прогноз!F48</f>
        <v>107.36</v>
      </c>
      <c r="F192" s="28">
        <v>317.84280490908299</v>
      </c>
      <c r="G192" s="2">
        <f t="shared" si="17"/>
        <v>100.0749927968663</v>
      </c>
      <c r="H192" s="23">
        <f t="shared" si="21"/>
        <v>5.2931506497147041</v>
      </c>
      <c r="I192" s="2">
        <f t="shared" si="19"/>
        <v>5.9385716105023789</v>
      </c>
      <c r="J192" s="1">
        <v>100.5</v>
      </c>
      <c r="K192" s="108">
        <f t="shared" si="15"/>
        <v>7.9132870230650525</v>
      </c>
    </row>
    <row r="193" spans="1:11" x14ac:dyDescent="0.3">
      <c r="A193" s="18">
        <v>45962</v>
      </c>
      <c r="C193" s="31">
        <f>Прогноз!E49</f>
        <v>100.15</v>
      </c>
      <c r="D193" s="21">
        <f t="shared" si="14"/>
        <v>316.6642693718839</v>
      </c>
      <c r="E193" s="5">
        <f>Прогноз!F49</f>
        <v>105.93</v>
      </c>
      <c r="F193" s="28">
        <v>318.59695584438703</v>
      </c>
      <c r="G193" s="2">
        <f t="shared" si="17"/>
        <v>100.23727167129668</v>
      </c>
      <c r="H193" s="23">
        <f t="shared" si="21"/>
        <v>2.6193502446316757</v>
      </c>
      <c r="I193" s="2">
        <f t="shared" si="19"/>
        <v>5.3047116285307965</v>
      </c>
      <c r="J193" s="1">
        <v>99.94</v>
      </c>
      <c r="K193" s="23">
        <f t="shared" si="15"/>
        <v>7.0585609779294742</v>
      </c>
    </row>
    <row r="194" spans="1:11" x14ac:dyDescent="0.3">
      <c r="A194" s="18">
        <v>45992</v>
      </c>
      <c r="C194" s="31">
        <f>Прогноз!E50</f>
        <v>100.29</v>
      </c>
      <c r="D194" s="21">
        <f t="shared" si="14"/>
        <v>317.58259575306238</v>
      </c>
      <c r="E194" s="5">
        <f>Прогноз!F50</f>
        <v>105.28</v>
      </c>
      <c r="F194" s="28">
        <v>322.20005653829702</v>
      </c>
      <c r="G194" s="2">
        <f t="shared" si="17"/>
        <v>101.13092753330319</v>
      </c>
      <c r="H194" s="23">
        <f>AVERAGE(G192:G194)^12/100^11-100</f>
        <v>5.9279828588896351</v>
      </c>
      <c r="I194" s="2">
        <f t="shared" si="19"/>
        <v>6.0788634508582504</v>
      </c>
      <c r="J194" s="1">
        <v>100.26</v>
      </c>
      <c r="K194" s="108">
        <f t="shared" si="15"/>
        <v>2.8362142875854346</v>
      </c>
    </row>
    <row r="195" spans="1:11" x14ac:dyDescent="0.3">
      <c r="A195" s="18">
        <v>46023</v>
      </c>
      <c r="C195" s="31">
        <f>Прогноз!E51</f>
        <v>101.6</v>
      </c>
      <c r="D195" s="21">
        <f t="shared" si="14"/>
        <v>322.66391728511132</v>
      </c>
      <c r="E195" s="5">
        <f>Прогноз!F51</f>
        <v>106.07</v>
      </c>
      <c r="F195" s="43">
        <v>324.60829205982401</v>
      </c>
      <c r="G195" s="2">
        <f t="shared" si="17"/>
        <v>100.74743485379889</v>
      </c>
      <c r="H195" s="23">
        <f t="shared" ref="H195:H218" si="22">AVERAGE(G193:G195)^12/100^11-100</f>
        <v>8.7986090622641058</v>
      </c>
      <c r="I195" s="2">
        <f t="shared" si="19"/>
        <v>5.8130224059248832</v>
      </c>
      <c r="J195" s="1">
        <v>100.98</v>
      </c>
      <c r="K195" s="23">
        <f t="shared" si="15"/>
        <v>4.8234600231416636</v>
      </c>
    </row>
    <row r="196" spans="1:11" x14ac:dyDescent="0.3">
      <c r="A196" s="18">
        <v>46054</v>
      </c>
      <c r="C196" s="31">
        <f>Прогноз!E52</f>
        <v>101.1</v>
      </c>
      <c r="D196" s="21">
        <f t="shared" ref="D196:D218" si="23">C196*D195/100</f>
        <v>326.21322037524754</v>
      </c>
      <c r="E196" s="5">
        <f>Прогноз!F52</f>
        <v>105.82</v>
      </c>
      <c r="F196" s="43">
        <v>325.83175556559797</v>
      </c>
      <c r="G196" s="2">
        <f t="shared" si="17"/>
        <v>100.37690457566883</v>
      </c>
      <c r="H196" s="23">
        <f t="shared" si="22"/>
        <v>9.4035645755995603</v>
      </c>
      <c r="I196" s="2">
        <f t="shared" si="19"/>
        <v>5.5288699960126166</v>
      </c>
      <c r="J196" s="1">
        <v>100.62</v>
      </c>
      <c r="K196" s="23">
        <f t="shared" si="15"/>
        <v>7.6990210897167941</v>
      </c>
    </row>
    <row r="197" spans="1:11" x14ac:dyDescent="0.3">
      <c r="A197" s="18">
        <v>46082</v>
      </c>
      <c r="C197" s="31">
        <f>Прогноз!E53</f>
        <v>100.54</v>
      </c>
      <c r="D197" s="21">
        <f t="shared" si="23"/>
        <v>327.97477176527389</v>
      </c>
      <c r="E197" s="5">
        <f>Прогноз!F53</f>
        <v>105.54</v>
      </c>
      <c r="F197" s="43">
        <v>324.713944935011</v>
      </c>
      <c r="G197" s="2">
        <f t="shared" si="17"/>
        <v>99.656936252684574</v>
      </c>
      <c r="H197" s="23">
        <f t="shared" si="22"/>
        <v>3.1702556446685151</v>
      </c>
      <c r="I197" s="2">
        <f t="shared" si="19"/>
        <v>4.6983224287425145</v>
      </c>
      <c r="J197" s="22">
        <f t="shared" ref="J197:J218" si="24">G197</f>
        <v>99.656936252684574</v>
      </c>
      <c r="K197" s="23">
        <f t="shared" ref="K197:K218" si="25">AVERAGE(J195:J197)^12/100^11-100</f>
        <v>5.1452369500638611</v>
      </c>
    </row>
    <row r="198" spans="1:11" x14ac:dyDescent="0.3">
      <c r="A198" s="18">
        <v>46113</v>
      </c>
      <c r="C198" s="31">
        <f>Прогноз!E54</f>
        <v>99.72</v>
      </c>
      <c r="D198" s="21">
        <f t="shared" si="23"/>
        <v>327.05644240433111</v>
      </c>
      <c r="E198" s="5">
        <f>Прогноз!F54</f>
        <v>104.69</v>
      </c>
      <c r="F198" s="43">
        <v>325.00142944745301</v>
      </c>
      <c r="G198" s="2">
        <f t="shared" si="17"/>
        <v>100.08853469859433</v>
      </c>
      <c r="H198" s="23">
        <f t="shared" si="22"/>
        <v>0.49060182555085419</v>
      </c>
      <c r="I198" s="2">
        <f t="shared" si="19"/>
        <v>4.6743683517839969</v>
      </c>
      <c r="J198" s="22">
        <f t="shared" si="24"/>
        <v>100.08853469859433</v>
      </c>
      <c r="K198" s="23">
        <f t="shared" si="25"/>
        <v>1.4717187512151781</v>
      </c>
    </row>
    <row r="199" spans="1:11" x14ac:dyDescent="0.3">
      <c r="A199" s="18">
        <v>46143</v>
      </c>
      <c r="C199" s="31">
        <f>Прогноз!E55</f>
        <v>100.1</v>
      </c>
      <c r="D199" s="21">
        <f t="shared" si="23"/>
        <v>327.38349884673539</v>
      </c>
      <c r="E199" s="5">
        <f>Прогноз!F55</f>
        <v>104.86</v>
      </c>
      <c r="F199" s="43">
        <v>326.27518654219199</v>
      </c>
      <c r="G199" s="2">
        <f t="shared" si="17"/>
        <v>100.39192353612245</v>
      </c>
      <c r="H199" s="23">
        <f t="shared" si="22"/>
        <v>0.55096439642477435</v>
      </c>
      <c r="I199" s="2">
        <f t="shared" si="19"/>
        <v>4.7113543747726823</v>
      </c>
      <c r="J199" s="22">
        <f t="shared" si="24"/>
        <v>100.39192353612245</v>
      </c>
      <c r="K199" s="23">
        <f t="shared" si="25"/>
        <v>0.55096439642477435</v>
      </c>
    </row>
    <row r="200" spans="1:11" x14ac:dyDescent="0.3">
      <c r="A200" s="18">
        <v>46174</v>
      </c>
      <c r="C200" s="31">
        <f>Прогноз!E56</f>
        <v>100.3</v>
      </c>
      <c r="D200" s="21">
        <f t="shared" si="23"/>
        <v>328.36564934327561</v>
      </c>
      <c r="E200" s="5">
        <f>Прогноз!F56</f>
        <v>105.22</v>
      </c>
      <c r="F200" s="43">
        <v>326.93367765292402</v>
      </c>
      <c r="G200" s="2">
        <f t="shared" si="17"/>
        <v>100.20182077519</v>
      </c>
      <c r="H200" s="23">
        <f t="shared" si="22"/>
        <v>2.7635131646613331</v>
      </c>
      <c r="I200" s="2">
        <f t="shared" si="19"/>
        <v>4.2329698260904394</v>
      </c>
      <c r="J200" s="22">
        <f t="shared" si="24"/>
        <v>100.20182077519</v>
      </c>
      <c r="K200" s="23">
        <f t="shared" si="25"/>
        <v>2.7635131646613331</v>
      </c>
    </row>
    <row r="201" spans="1:11" x14ac:dyDescent="0.3">
      <c r="A201" s="18">
        <v>46204</v>
      </c>
      <c r="C201" s="31">
        <f>Прогноз!E57</f>
        <v>99.9</v>
      </c>
      <c r="D201" s="21">
        <f t="shared" si="23"/>
        <v>328.03728369393235</v>
      </c>
      <c r="E201" s="5">
        <f>Прогноз!F57</f>
        <v>104.74</v>
      </c>
      <c r="F201" s="43">
        <v>328.39422808078098</v>
      </c>
      <c r="G201" s="2">
        <f t="shared" si="17"/>
        <v>100.44674211550866</v>
      </c>
      <c r="H201" s="23">
        <f t="shared" si="22"/>
        <v>4.2422622992244641</v>
      </c>
      <c r="I201" s="2">
        <f t="shared" si="19"/>
        <v>4.6677048359215121</v>
      </c>
      <c r="J201" s="22">
        <f t="shared" si="24"/>
        <v>100.44674211550866</v>
      </c>
      <c r="K201" s="23">
        <f t="shared" si="25"/>
        <v>4.2422622992244641</v>
      </c>
    </row>
    <row r="202" spans="1:11" x14ac:dyDescent="0.3">
      <c r="A202" s="18">
        <v>46235</v>
      </c>
      <c r="C202" s="31">
        <f>Прогноз!E58</f>
        <v>99.85</v>
      </c>
      <c r="D202" s="21">
        <f t="shared" si="23"/>
        <v>327.54522776839144</v>
      </c>
      <c r="E202" s="5">
        <f>Прогноз!F58</f>
        <v>105.18</v>
      </c>
      <c r="F202" s="43">
        <v>329.480823059084</v>
      </c>
      <c r="G202" s="2">
        <f t="shared" si="17"/>
        <v>100.33088126568282</v>
      </c>
      <c r="H202" s="23">
        <f t="shared" si="22"/>
        <v>3.988897334669204</v>
      </c>
      <c r="I202" s="2">
        <f t="shared" si="19"/>
        <v>4.0940830004888511</v>
      </c>
      <c r="J202" s="22">
        <f t="shared" si="24"/>
        <v>100.33088126568282</v>
      </c>
      <c r="K202" s="23">
        <f t="shared" si="25"/>
        <v>3.988897334669204</v>
      </c>
    </row>
    <row r="203" spans="1:11" x14ac:dyDescent="0.3">
      <c r="A203" s="18">
        <v>46266</v>
      </c>
      <c r="C203" s="31">
        <f>Прогноз!E59</f>
        <v>100.45</v>
      </c>
      <c r="D203" s="21">
        <f t="shared" si="23"/>
        <v>329.01918129334922</v>
      </c>
      <c r="E203" s="5">
        <f>Прогноз!F59</f>
        <v>104.61</v>
      </c>
      <c r="F203" s="43">
        <v>333.070688292444</v>
      </c>
      <c r="G203" s="2">
        <f t="shared" si="17"/>
        <v>101.08955210200996</v>
      </c>
      <c r="H203" s="23">
        <f t="shared" si="22"/>
        <v>7.7297463355720311</v>
      </c>
      <c r="I203" s="2">
        <f t="shared" si="19"/>
        <v>4.8797755235211611</v>
      </c>
      <c r="J203" s="22">
        <f t="shared" si="24"/>
        <v>101.08955210200996</v>
      </c>
      <c r="K203" s="23">
        <f t="shared" si="25"/>
        <v>7.7297463355720311</v>
      </c>
    </row>
    <row r="204" spans="1:11" x14ac:dyDescent="0.3">
      <c r="A204" s="18">
        <v>46296</v>
      </c>
      <c r="C204" s="31">
        <f>Прогноз!E60</f>
        <v>101.3</v>
      </c>
      <c r="D204" s="21">
        <f t="shared" si="23"/>
        <v>333.29643065016273</v>
      </c>
      <c r="E204" s="5">
        <f>Прогноз!F60</f>
        <v>105.41</v>
      </c>
      <c r="F204" s="43">
        <v>333.853941010906</v>
      </c>
      <c r="G204" s="2">
        <f t="shared" si="17"/>
        <v>100.23516110723448</v>
      </c>
      <c r="H204" s="23">
        <f t="shared" si="22"/>
        <v>6.8271279865160608</v>
      </c>
      <c r="I204" s="2">
        <f t="shared" si="19"/>
        <v>5.047216446721734</v>
      </c>
      <c r="J204" s="22">
        <f t="shared" si="24"/>
        <v>100.23516110723448</v>
      </c>
      <c r="K204" s="23">
        <f t="shared" si="25"/>
        <v>6.8271279865160608</v>
      </c>
    </row>
    <row r="205" spans="1:11" x14ac:dyDescent="0.3">
      <c r="A205" s="18">
        <v>46327</v>
      </c>
      <c r="C205" s="31">
        <f>Прогноз!E61</f>
        <v>100.3</v>
      </c>
      <c r="D205" s="21">
        <f t="shared" si="23"/>
        <v>334.2963199421132</v>
      </c>
      <c r="E205" s="5">
        <f>Прогноз!F61</f>
        <v>105.57</v>
      </c>
      <c r="F205" s="43">
        <v>334.896307697015</v>
      </c>
      <c r="G205" s="2">
        <f t="shared" si="17"/>
        <v>100.3122223697443</v>
      </c>
      <c r="H205" s="23">
        <f t="shared" si="22"/>
        <v>6.7478614988937267</v>
      </c>
      <c r="I205" s="2">
        <f t="shared" si="19"/>
        <v>5.1256544938530624</v>
      </c>
      <c r="J205" s="22">
        <f t="shared" si="24"/>
        <v>100.3122223697443</v>
      </c>
      <c r="K205" s="23">
        <f t="shared" si="25"/>
        <v>6.7478614988937267</v>
      </c>
    </row>
    <row r="206" spans="1:11" x14ac:dyDescent="0.3">
      <c r="A206" s="18">
        <v>46357</v>
      </c>
      <c r="C206" s="31">
        <f>Прогноз!E62</f>
        <v>100.35</v>
      </c>
      <c r="D206" s="21">
        <f t="shared" si="23"/>
        <v>335.46635706191063</v>
      </c>
      <c r="E206" s="5">
        <f>Прогноз!F62</f>
        <v>105.63</v>
      </c>
      <c r="F206" s="43">
        <v>336.49904785497802</v>
      </c>
      <c r="G206" s="2">
        <f t="shared" si="17"/>
        <v>100.47857803180472</v>
      </c>
      <c r="H206" s="23">
        <f t="shared" si="22"/>
        <v>4.1819232292448447</v>
      </c>
      <c r="I206" s="2">
        <f t="shared" si="19"/>
        <v>4.4447483041277707</v>
      </c>
      <c r="J206" s="22">
        <f t="shared" si="24"/>
        <v>100.47857803180472</v>
      </c>
      <c r="K206" s="23">
        <f t="shared" si="25"/>
        <v>4.1819232292448447</v>
      </c>
    </row>
    <row r="207" spans="1:11" x14ac:dyDescent="0.3">
      <c r="A207" s="18">
        <v>46388</v>
      </c>
      <c r="C207" s="31">
        <f>Прогноз!E63</f>
        <v>100.95</v>
      </c>
      <c r="D207" s="21">
        <f t="shared" si="23"/>
        <v>338.65328745399876</v>
      </c>
      <c r="E207" s="5">
        <f>Прогноз!F63</f>
        <v>104.96</v>
      </c>
      <c r="F207" s="43">
        <v>337.501233163054</v>
      </c>
      <c r="G207" s="2">
        <f t="shared" si="17"/>
        <v>100.29782708583113</v>
      </c>
      <c r="H207" s="23">
        <f t="shared" si="22"/>
        <v>4.4424778627106747</v>
      </c>
      <c r="I207" s="2">
        <f t="shared" si="19"/>
        <v>3.9778148294784188</v>
      </c>
      <c r="J207" s="22">
        <f t="shared" si="24"/>
        <v>100.29782708583113</v>
      </c>
      <c r="K207" s="23">
        <f t="shared" si="25"/>
        <v>4.4424778627106747</v>
      </c>
    </row>
    <row r="208" spans="1:11" x14ac:dyDescent="0.3">
      <c r="A208" s="18">
        <v>46419</v>
      </c>
      <c r="C208" s="31">
        <f>Прогноз!E64</f>
        <v>100.65</v>
      </c>
      <c r="D208" s="21">
        <f t="shared" si="23"/>
        <v>340.85453382244975</v>
      </c>
      <c r="E208" s="5">
        <f>Прогноз!F64</f>
        <v>104.49</v>
      </c>
      <c r="F208" s="43">
        <v>338.63299124889699</v>
      </c>
      <c r="G208" s="2">
        <f t="shared" si="17"/>
        <v>100.33533450388794</v>
      </c>
      <c r="H208" s="23">
        <f t="shared" si="22"/>
        <v>4.5387249229977016</v>
      </c>
      <c r="I208" s="2">
        <f t="shared" si="19"/>
        <v>3.9347396335977578</v>
      </c>
      <c r="J208" s="22">
        <f t="shared" si="24"/>
        <v>100.33533450388794</v>
      </c>
      <c r="K208" s="23">
        <f t="shared" si="25"/>
        <v>4.5387249229977016</v>
      </c>
    </row>
    <row r="209" spans="1:11" x14ac:dyDescent="0.3">
      <c r="A209" s="18">
        <v>46447</v>
      </c>
      <c r="C209" s="31">
        <f>Прогноз!E65</f>
        <v>100.5</v>
      </c>
      <c r="D209" s="21">
        <f t="shared" si="23"/>
        <v>342.558806491562</v>
      </c>
      <c r="E209" s="5">
        <f>Прогноз!F65</f>
        <v>104.45</v>
      </c>
      <c r="F209" s="43">
        <v>339.94411917423298</v>
      </c>
      <c r="G209" s="2">
        <f t="shared" si="17"/>
        <v>100.38718257205257</v>
      </c>
      <c r="H209" s="23">
        <f t="shared" si="22"/>
        <v>4.1585963659256464</v>
      </c>
      <c r="I209" s="2">
        <f t="shared" si="19"/>
        <v>4.6938113222149553</v>
      </c>
      <c r="J209" s="22">
        <f t="shared" si="24"/>
        <v>100.38718257205257</v>
      </c>
      <c r="K209" s="23">
        <f t="shared" si="25"/>
        <v>4.1585963659256464</v>
      </c>
    </row>
    <row r="210" spans="1:11" x14ac:dyDescent="0.3">
      <c r="A210" s="18">
        <v>46478</v>
      </c>
      <c r="C210" s="31">
        <f>Прогноз!E66</f>
        <v>100.45</v>
      </c>
      <c r="D210" s="21">
        <f t="shared" si="23"/>
        <v>344.10032112077403</v>
      </c>
      <c r="E210" s="5">
        <f>Прогноз!F66</f>
        <v>105.21</v>
      </c>
      <c r="F210" s="43">
        <v>341.26140853276002</v>
      </c>
      <c r="G210" s="2">
        <f t="shared" si="17"/>
        <v>100.38750173461652</v>
      </c>
      <c r="H210" s="23">
        <f t="shared" si="22"/>
        <v>4.5315560601561486</v>
      </c>
      <c r="I210" s="2">
        <f t="shared" si="19"/>
        <v>5.0060431318596557</v>
      </c>
      <c r="J210" s="22">
        <f t="shared" si="24"/>
        <v>100.38750173461652</v>
      </c>
      <c r="K210" s="23">
        <f t="shared" si="25"/>
        <v>4.5315560601561486</v>
      </c>
    </row>
    <row r="211" spans="1:11" x14ac:dyDescent="0.3">
      <c r="A211" s="18">
        <v>46508</v>
      </c>
      <c r="C211" s="31">
        <f>Прогноз!E67</f>
        <v>100.2</v>
      </c>
      <c r="D211" s="21">
        <f t="shared" si="23"/>
        <v>344.78852176301558</v>
      </c>
      <c r="E211" s="5">
        <f>Прогноз!F67</f>
        <v>105.32</v>
      </c>
      <c r="F211" s="43">
        <v>342.92541015225902</v>
      </c>
      <c r="G211" s="2">
        <f t="shared" si="17"/>
        <v>100.48760322084274</v>
      </c>
      <c r="H211" s="23">
        <f t="shared" si="22"/>
        <v>5.1676516784532822</v>
      </c>
      <c r="I211" s="2">
        <f t="shared" si="19"/>
        <v>5.106148152251123</v>
      </c>
      <c r="J211" s="22">
        <f t="shared" si="24"/>
        <v>100.48760322084274</v>
      </c>
      <c r="K211" s="23">
        <f t="shared" si="25"/>
        <v>5.1676516784532822</v>
      </c>
    </row>
    <row r="212" spans="1:11" x14ac:dyDescent="0.3">
      <c r="A212" s="18">
        <v>46539</v>
      </c>
      <c r="C212" s="31">
        <f>Прогноз!E68</f>
        <v>100.1</v>
      </c>
      <c r="D212" s="21">
        <f t="shared" si="23"/>
        <v>345.13331028477859</v>
      </c>
      <c r="E212" s="5">
        <f>Прогноз!F68</f>
        <v>105.11</v>
      </c>
      <c r="F212" s="43">
        <v>344.13314419420601</v>
      </c>
      <c r="G212" s="2">
        <f t="shared" si="17"/>
        <v>100.35218563751538</v>
      </c>
      <c r="H212" s="23">
        <f t="shared" si="22"/>
        <v>5.0211403531944114</v>
      </c>
      <c r="I212" s="2">
        <f t="shared" si="19"/>
        <v>5.2636444046052873</v>
      </c>
      <c r="J212" s="22">
        <f t="shared" si="24"/>
        <v>100.35218563751538</v>
      </c>
      <c r="K212" s="23">
        <f t="shared" si="25"/>
        <v>5.0211403531944114</v>
      </c>
    </row>
    <row r="213" spans="1:11" x14ac:dyDescent="0.3">
      <c r="A213" s="18">
        <v>46569</v>
      </c>
      <c r="C213" s="31">
        <f>Прогноз!E69</f>
        <v>100.05</v>
      </c>
      <c r="D213" s="21">
        <f t="shared" si="23"/>
        <v>345.30587693992101</v>
      </c>
      <c r="E213" s="5">
        <f>Прогноз!F69</f>
        <v>105.26</v>
      </c>
      <c r="F213" s="43">
        <v>345.99548754143501</v>
      </c>
      <c r="G213" s="2">
        <f t="shared" si="17"/>
        <v>100.54116942196593</v>
      </c>
      <c r="H213" s="23">
        <f t="shared" si="22"/>
        <v>5.6658513902663117</v>
      </c>
      <c r="I213" s="2">
        <f t="shared" si="19"/>
        <v>5.3626606914181139</v>
      </c>
      <c r="J213" s="22">
        <f t="shared" si="24"/>
        <v>100.54116942196593</v>
      </c>
      <c r="K213" s="23">
        <f t="shared" si="25"/>
        <v>5.6658513902663117</v>
      </c>
    </row>
    <row r="214" spans="1:11" x14ac:dyDescent="0.3">
      <c r="A214" s="18">
        <v>46600</v>
      </c>
      <c r="C214" s="31">
        <f>Прогноз!E70</f>
        <v>99.95</v>
      </c>
      <c r="D214" s="21">
        <f t="shared" si="23"/>
        <v>345.13322400145108</v>
      </c>
      <c r="E214" s="5">
        <f>Прогноз!F70</f>
        <v>105.37</v>
      </c>
      <c r="F214" s="43">
        <v>347.14424571365299</v>
      </c>
      <c r="G214" s="2">
        <f t="shared" si="17"/>
        <v>100.33201536250684</v>
      </c>
      <c r="H214" s="23">
        <f t="shared" si="22"/>
        <v>5.0131071576758046</v>
      </c>
      <c r="I214" s="2">
        <f t="shared" si="19"/>
        <v>5.3638504217945666</v>
      </c>
      <c r="J214" s="22">
        <f t="shared" si="24"/>
        <v>100.33201536250684</v>
      </c>
      <c r="K214" s="23">
        <f t="shared" si="25"/>
        <v>5.0131071576758046</v>
      </c>
    </row>
    <row r="215" spans="1:11" x14ac:dyDescent="0.3">
      <c r="A215" s="18">
        <v>46631</v>
      </c>
      <c r="C215" s="31">
        <f>Прогноз!E71</f>
        <v>100.45</v>
      </c>
      <c r="D215" s="21">
        <f t="shared" si="23"/>
        <v>346.68632350945768</v>
      </c>
      <c r="E215" s="5">
        <f>Прогноз!F71</f>
        <v>105.37</v>
      </c>
      <c r="F215" s="43">
        <v>347.97951096745902</v>
      </c>
      <c r="G215" s="2">
        <f t="shared" si="17"/>
        <v>100.240610427544</v>
      </c>
      <c r="H215" s="23">
        <f t="shared" si="22"/>
        <v>4.5472890611309111</v>
      </c>
      <c r="I215" s="2">
        <f t="shared" si="19"/>
        <v>4.4767011127271275</v>
      </c>
      <c r="J215" s="22">
        <f t="shared" si="24"/>
        <v>100.240610427544</v>
      </c>
      <c r="K215" s="23">
        <f t="shared" si="25"/>
        <v>4.5472890611309111</v>
      </c>
    </row>
    <row r="216" spans="1:11" x14ac:dyDescent="0.3">
      <c r="A216" s="18">
        <v>46661</v>
      </c>
      <c r="C216" s="31">
        <f>Прогноз!E72</f>
        <v>100.45</v>
      </c>
      <c r="D216" s="21">
        <f t="shared" si="23"/>
        <v>348.24641196525022</v>
      </c>
      <c r="E216" s="5">
        <f>Прогноз!F72</f>
        <v>104.49</v>
      </c>
      <c r="F216" s="43">
        <v>348.47516743804198</v>
      </c>
      <c r="G216" s="2">
        <f t="shared" si="17"/>
        <v>100.14243840656161</v>
      </c>
      <c r="H216" s="23">
        <f t="shared" si="22"/>
        <v>2.898052872128261</v>
      </c>
      <c r="I216" s="2">
        <f t="shared" si="19"/>
        <v>4.3802212484201277</v>
      </c>
      <c r="J216" s="22">
        <f t="shared" si="24"/>
        <v>100.14243840656161</v>
      </c>
      <c r="K216" s="23">
        <f t="shared" si="25"/>
        <v>2.898052872128261</v>
      </c>
    </row>
    <row r="217" spans="1:11" x14ac:dyDescent="0.3">
      <c r="A217" s="18">
        <v>46692</v>
      </c>
      <c r="C217" s="31">
        <f>Прогноз!E73</f>
        <v>100.2</v>
      </c>
      <c r="D217" s="21">
        <f t="shared" si="23"/>
        <v>348.94290478918077</v>
      </c>
      <c r="E217" s="5">
        <f>Прогноз!F73</f>
        <v>104.38</v>
      </c>
      <c r="F217" s="43">
        <v>348.37924458388397</v>
      </c>
      <c r="G217" s="2">
        <f t="shared" si="17"/>
        <v>99.972473546719769</v>
      </c>
      <c r="H217" s="23">
        <f t="shared" si="22"/>
        <v>1.4313952881512506</v>
      </c>
      <c r="I217" s="2">
        <f t="shared" si="19"/>
        <v>4.0274031107496029</v>
      </c>
      <c r="J217" s="22">
        <f t="shared" si="24"/>
        <v>99.972473546719769</v>
      </c>
      <c r="K217" s="23">
        <f t="shared" si="25"/>
        <v>1.4313952881512506</v>
      </c>
    </row>
    <row r="218" spans="1:11" x14ac:dyDescent="0.3">
      <c r="A218" s="18">
        <v>46722</v>
      </c>
      <c r="C218" s="31">
        <f>Прогноз!E74</f>
        <v>100</v>
      </c>
      <c r="D218" s="21">
        <f t="shared" si="23"/>
        <v>348.94290478918077</v>
      </c>
      <c r="E218" s="5">
        <f>Прогноз!F74</f>
        <v>104.02</v>
      </c>
      <c r="F218" s="43">
        <v>349.66104444159703</v>
      </c>
      <c r="G218" s="2">
        <f t="shared" si="17"/>
        <v>100.36793232594673</v>
      </c>
      <c r="H218" s="23">
        <f t="shared" si="22"/>
        <v>1.9485660038578061</v>
      </c>
      <c r="I218" s="2">
        <f t="shared" si="19"/>
        <v>3.9127373295424945</v>
      </c>
      <c r="J218" s="22">
        <f t="shared" si="24"/>
        <v>100.36793232594673</v>
      </c>
      <c r="K218" s="23">
        <f t="shared" si="25"/>
        <v>1.9485660038578061</v>
      </c>
    </row>
    <row r="219" spans="1:11" x14ac:dyDescent="0.3">
      <c r="C219" s="31"/>
    </row>
  </sheetData>
  <mergeCells count="5">
    <mergeCell ref="AG168:AJ168"/>
    <mergeCell ref="AC168:AF168"/>
    <mergeCell ref="Q168:T168"/>
    <mergeCell ref="U168:X168"/>
    <mergeCell ref="Y168:AB16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0"/>
  <sheetViews>
    <sheetView workbookViewId="0">
      <selection activeCell="B27" sqref="B27"/>
    </sheetView>
  </sheetViews>
  <sheetFormatPr defaultColWidth="9.09765625" defaultRowHeight="14.4" x14ac:dyDescent="0.3"/>
  <cols>
    <col min="1" max="1" width="9.09765625" style="11"/>
    <col min="2" max="2" width="97.09765625" style="11" customWidth="1"/>
    <col min="3" max="4" width="11.3984375" style="12" customWidth="1"/>
    <col min="5" max="5" width="10.09765625" style="12" bestFit="1" customWidth="1"/>
    <col min="6" max="8" width="10.09765625" style="12" customWidth="1"/>
    <col min="9" max="9" width="10.09765625" style="12" bestFit="1" customWidth="1"/>
    <col min="10" max="10" width="9.09765625" style="12"/>
    <col min="11" max="11" width="10.09765625" style="12" bestFit="1" customWidth="1"/>
    <col min="12" max="12" width="9.09765625" style="12"/>
    <col min="13" max="16384" width="9.09765625" style="11"/>
  </cols>
  <sheetData>
    <row r="1" spans="1:1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 spans="1:1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1:1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19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x14ac:dyDescent="0.3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 spans="1:19" x14ac:dyDescent="0.3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x14ac:dyDescent="0.3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19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3:3" x14ac:dyDescent="0.3">
      <c r="C33" s="13"/>
    </row>
    <row r="34" spans="3:3" x14ac:dyDescent="0.3">
      <c r="C34" s="13"/>
    </row>
    <row r="35" spans="3:3" x14ac:dyDescent="0.3">
      <c r="C35" s="13"/>
    </row>
    <row r="36" spans="3:3" x14ac:dyDescent="0.3">
      <c r="C36" s="13"/>
    </row>
    <row r="37" spans="3:3" x14ac:dyDescent="0.3">
      <c r="C37" s="13"/>
    </row>
    <row r="38" spans="3:3" x14ac:dyDescent="0.3">
      <c r="C38" s="13"/>
    </row>
    <row r="39" spans="3:3" x14ac:dyDescent="0.3">
      <c r="C39" s="13"/>
    </row>
    <row r="40" spans="3:3" x14ac:dyDescent="0.3">
      <c r="C4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"/>
  <dimension ref="A1:B3"/>
  <sheetViews>
    <sheetView workbookViewId="0">
      <selection activeCell="A4" sqref="A4"/>
    </sheetView>
  </sheetViews>
  <sheetFormatPr defaultRowHeight="14.4" x14ac:dyDescent="0.3"/>
  <cols>
    <col min="1" max="1" width="15.8984375" bestFit="1" customWidth="1"/>
    <col min="2" max="2" width="17.3984375" bestFit="1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</v>
      </c>
    </row>
    <row r="3" spans="1:2" x14ac:dyDescent="0.3">
      <c r="A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3"/>
  <dimension ref="A1:A2"/>
  <sheetViews>
    <sheetView topLeftCell="A19" workbookViewId="0">
      <selection activeCell="B29" sqref="B29"/>
    </sheetView>
  </sheetViews>
  <sheetFormatPr defaultRowHeight="14.4" x14ac:dyDescent="0.3"/>
  <cols>
    <col min="1" max="1" width="53.8984375" bestFit="1" customWidth="1"/>
  </cols>
  <sheetData>
    <row r="1" spans="1:1" x14ac:dyDescent="0.3">
      <c r="A1" t="s">
        <v>3</v>
      </c>
    </row>
    <row r="2" spans="1:1" x14ac:dyDescent="0.3">
      <c r="A2" t="str" cm="1">
        <f t="array" aca="1" ref="A2" ca="1">MID(CELL("filename",A1),1,SEARCH("[",CELL("filename",A1))-1)&amp;"IPC.xlsx"</f>
        <v>C:\ЦБ_Работа\04_Прогноз\_1_Прогноз\_Актуальный прогноз\2026\062026\IPC.xlsx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19"/>
  <sheetViews>
    <sheetView zoomScale="130" zoomScaleNormal="130" workbookViewId="0">
      <selection activeCell="Q207" sqref="Q3:Q207"/>
    </sheetView>
  </sheetViews>
  <sheetFormatPr defaultRowHeight="14.4" x14ac:dyDescent="0.3"/>
  <cols>
    <col min="1" max="1" width="11.296875" customWidth="1"/>
    <col min="2" max="2" width="6.69921875" bestFit="1" customWidth="1"/>
    <col min="3" max="3" width="8.09765625" bestFit="1" customWidth="1"/>
    <col min="9" max="9" width="10.8984375" bestFit="1" customWidth="1"/>
    <col min="10" max="10" width="6.69921875" bestFit="1" customWidth="1"/>
    <col min="11" max="11" width="8.09765625" bestFit="1" customWidth="1"/>
    <col min="16" max="16" width="10.8984375" bestFit="1" customWidth="1"/>
    <col min="19" max="19" width="11.3984375" customWidth="1"/>
  </cols>
  <sheetData>
    <row r="1" spans="1:17" x14ac:dyDescent="0.3">
      <c r="A1" t="s">
        <v>43</v>
      </c>
      <c r="B1" t="s">
        <v>2</v>
      </c>
      <c r="C1" t="s">
        <v>1</v>
      </c>
      <c r="I1" t="s">
        <v>43</v>
      </c>
      <c r="J1" t="s">
        <v>2</v>
      </c>
      <c r="K1" t="s">
        <v>1</v>
      </c>
      <c r="L1" t="s">
        <v>42</v>
      </c>
      <c r="P1" t="s">
        <v>45</v>
      </c>
    </row>
    <row r="2" spans="1:17" x14ac:dyDescent="0.3">
      <c r="A2" s="18">
        <v>40269</v>
      </c>
      <c r="B2">
        <v>8.0399999999999991</v>
      </c>
      <c r="C2">
        <v>0.59</v>
      </c>
      <c r="I2" s="18">
        <v>40179</v>
      </c>
      <c r="J2">
        <v>8.84</v>
      </c>
      <c r="K2">
        <v>1.49</v>
      </c>
      <c r="Q2" t="s">
        <v>46</v>
      </c>
    </row>
    <row r="3" spans="1:17" x14ac:dyDescent="0.3">
      <c r="A3" s="18">
        <v>40634</v>
      </c>
      <c r="B3">
        <v>12.45</v>
      </c>
      <c r="C3">
        <v>0.6</v>
      </c>
      <c r="I3" s="18">
        <v>40210</v>
      </c>
      <c r="J3">
        <v>9.2100000000000009</v>
      </c>
      <c r="K3">
        <v>1.2</v>
      </c>
      <c r="P3" s="18">
        <v>40148</v>
      </c>
      <c r="Q3">
        <v>100.243347082</v>
      </c>
    </row>
    <row r="4" spans="1:17" x14ac:dyDescent="0.3">
      <c r="A4" s="18">
        <v>41000</v>
      </c>
      <c r="B4">
        <v>3.89</v>
      </c>
      <c r="C4">
        <v>0.42</v>
      </c>
      <c r="I4" s="18">
        <v>40238</v>
      </c>
      <c r="J4">
        <v>8.98</v>
      </c>
      <c r="K4">
        <v>0.92</v>
      </c>
      <c r="P4" s="18">
        <v>40179</v>
      </c>
      <c r="Q4">
        <v>101.407499171</v>
      </c>
    </row>
    <row r="5" spans="1:17" x14ac:dyDescent="0.3">
      <c r="A5" s="18">
        <v>41365</v>
      </c>
      <c r="B5">
        <v>9.34</v>
      </c>
      <c r="C5">
        <v>1.25</v>
      </c>
      <c r="I5" s="18">
        <v>40269</v>
      </c>
      <c r="J5">
        <v>8.0399999999999991</v>
      </c>
      <c r="K5">
        <v>0.59</v>
      </c>
      <c r="P5" s="18">
        <v>40210</v>
      </c>
      <c r="Q5">
        <v>102.39393708999999</v>
      </c>
    </row>
    <row r="6" spans="1:17" x14ac:dyDescent="0.3">
      <c r="A6" s="18">
        <v>41730</v>
      </c>
      <c r="B6">
        <v>6.82</v>
      </c>
      <c r="C6">
        <v>0.63</v>
      </c>
      <c r="I6" s="18">
        <v>40299</v>
      </c>
      <c r="J6">
        <v>8.11</v>
      </c>
      <c r="K6">
        <v>0.64</v>
      </c>
      <c r="P6" s="18">
        <v>40238</v>
      </c>
      <c r="Q6">
        <v>103.156057706</v>
      </c>
    </row>
    <row r="7" spans="1:17" x14ac:dyDescent="0.3">
      <c r="A7" s="18">
        <v>42095</v>
      </c>
      <c r="B7">
        <v>17.22</v>
      </c>
      <c r="C7">
        <v>1.24</v>
      </c>
      <c r="I7" s="18">
        <v>40330</v>
      </c>
      <c r="J7">
        <v>7.36</v>
      </c>
      <c r="K7">
        <v>0.73</v>
      </c>
      <c r="P7" s="18">
        <v>40269</v>
      </c>
      <c r="Q7">
        <v>103.552630859</v>
      </c>
    </row>
    <row r="8" spans="1:17" x14ac:dyDescent="0.3">
      <c r="A8" s="18">
        <v>42461</v>
      </c>
      <c r="B8">
        <v>7.08</v>
      </c>
      <c r="C8">
        <v>1.0900000000000001</v>
      </c>
      <c r="I8" s="18">
        <v>40360</v>
      </c>
      <c r="J8">
        <v>6.82</v>
      </c>
      <c r="K8">
        <v>-0.49</v>
      </c>
      <c r="P8" s="18">
        <v>40299</v>
      </c>
      <c r="Q8">
        <v>104.21708231700001</v>
      </c>
    </row>
    <row r="9" spans="1:17" x14ac:dyDescent="0.3">
      <c r="A9" s="18">
        <v>42826</v>
      </c>
      <c r="B9">
        <v>5.1100000000000003</v>
      </c>
      <c r="C9">
        <v>0.77</v>
      </c>
      <c r="I9" s="18">
        <v>40391</v>
      </c>
      <c r="J9">
        <v>6.83</v>
      </c>
      <c r="K9">
        <v>0.48</v>
      </c>
      <c r="P9" s="18">
        <v>40330</v>
      </c>
      <c r="Q9">
        <v>105.406983096</v>
      </c>
    </row>
    <row r="10" spans="1:17" x14ac:dyDescent="0.3">
      <c r="A10" s="18">
        <v>43191</v>
      </c>
      <c r="B10">
        <v>1.58</v>
      </c>
      <c r="C10">
        <v>0.5</v>
      </c>
      <c r="I10" s="18">
        <v>40422</v>
      </c>
      <c r="J10">
        <v>9.1199999999999992</v>
      </c>
      <c r="K10">
        <v>2.29</v>
      </c>
      <c r="P10" s="18">
        <v>40360</v>
      </c>
      <c r="Q10">
        <v>105.230830199</v>
      </c>
    </row>
    <row r="11" spans="1:17" x14ac:dyDescent="0.3">
      <c r="A11" s="18">
        <v>43556</v>
      </c>
      <c r="B11">
        <v>5.65</v>
      </c>
      <c r="C11">
        <v>0.59</v>
      </c>
      <c r="I11" s="18">
        <v>40452</v>
      </c>
      <c r="J11">
        <v>9.4700000000000006</v>
      </c>
      <c r="K11">
        <v>0.5</v>
      </c>
      <c r="P11" s="18">
        <v>40391</v>
      </c>
      <c r="Q11">
        <v>106.321491671</v>
      </c>
    </row>
    <row r="12" spans="1:17" x14ac:dyDescent="0.3">
      <c r="A12" s="18">
        <v>43922</v>
      </c>
      <c r="B12">
        <v>3.57</v>
      </c>
      <c r="C12">
        <v>1.3</v>
      </c>
      <c r="I12" s="18">
        <v>40483</v>
      </c>
      <c r="J12">
        <v>9.9600000000000009</v>
      </c>
      <c r="K12">
        <v>0.92</v>
      </c>
      <c r="P12" s="18">
        <v>40422</v>
      </c>
      <c r="Q12">
        <v>108.735191675</v>
      </c>
    </row>
    <row r="13" spans="1:17" x14ac:dyDescent="0.3">
      <c r="A13" s="18">
        <v>44287</v>
      </c>
      <c r="B13">
        <v>6.37</v>
      </c>
      <c r="C13">
        <v>0.86</v>
      </c>
      <c r="I13" s="18">
        <v>40513</v>
      </c>
      <c r="J13">
        <v>11.36</v>
      </c>
      <c r="K13">
        <v>1.57</v>
      </c>
      <c r="P13" s="18">
        <v>40452</v>
      </c>
      <c r="Q13">
        <v>109.258817658</v>
      </c>
    </row>
    <row r="14" spans="1:17" x14ac:dyDescent="0.3">
      <c r="A14" s="18">
        <v>44652</v>
      </c>
      <c r="B14">
        <v>16</v>
      </c>
      <c r="C14">
        <v>3.28</v>
      </c>
      <c r="I14" s="18">
        <v>40544</v>
      </c>
      <c r="J14">
        <v>12.36</v>
      </c>
      <c r="K14">
        <v>2.4</v>
      </c>
      <c r="P14" s="18">
        <v>40483</v>
      </c>
      <c r="Q14">
        <v>110.18348883100001</v>
      </c>
    </row>
    <row r="15" spans="1:17" x14ac:dyDescent="0.3">
      <c r="A15" s="18">
        <v>45017</v>
      </c>
      <c r="B15">
        <v>3.51</v>
      </c>
      <c r="C15">
        <v>0.72</v>
      </c>
      <c r="I15" s="18">
        <v>40575</v>
      </c>
      <c r="J15">
        <v>12.21</v>
      </c>
      <c r="K15">
        <v>1.06</v>
      </c>
      <c r="P15" s="18">
        <v>40513</v>
      </c>
      <c r="Q15">
        <v>111.635983909</v>
      </c>
    </row>
    <row r="16" spans="1:17" x14ac:dyDescent="0.3">
      <c r="A16" s="18">
        <v>45383</v>
      </c>
      <c r="B16">
        <v>6.32</v>
      </c>
      <c r="C16">
        <v>0.38</v>
      </c>
      <c r="E16" t="s">
        <v>44</v>
      </c>
      <c r="I16" s="18">
        <v>40603</v>
      </c>
      <c r="J16">
        <v>12.43</v>
      </c>
      <c r="K16">
        <v>1.1200000000000001</v>
      </c>
      <c r="P16" s="18">
        <v>40544</v>
      </c>
      <c r="Q16">
        <v>113.94880958</v>
      </c>
    </row>
    <row r="17" spans="5:17" x14ac:dyDescent="0.3">
      <c r="E17" s="3">
        <f>AVERAGE(Таблица1[MoM])</f>
        <v>0.94800000000000006</v>
      </c>
      <c r="F17">
        <f>AVERAGEIF(Таблица1[MoM],"&lt;2",Таблица1[MoM])</f>
        <v>0.78142857142857147</v>
      </c>
      <c r="I17" s="18">
        <v>40634</v>
      </c>
      <c r="J17">
        <v>12.45</v>
      </c>
      <c r="K17">
        <v>0.6</v>
      </c>
      <c r="P17" s="18">
        <v>40575</v>
      </c>
      <c r="Q17">
        <v>114.899095918</v>
      </c>
    </row>
    <row r="18" spans="5:17" x14ac:dyDescent="0.3">
      <c r="I18" s="18">
        <v>40664</v>
      </c>
      <c r="J18">
        <v>12.08</v>
      </c>
      <c r="K18">
        <v>0.31</v>
      </c>
      <c r="P18" s="18">
        <v>40603</v>
      </c>
      <c r="Q18">
        <v>115.983618584</v>
      </c>
    </row>
    <row r="19" spans="5:17" x14ac:dyDescent="0.3">
      <c r="I19" s="18">
        <v>40695</v>
      </c>
      <c r="J19">
        <v>10.59</v>
      </c>
      <c r="K19">
        <v>-0.61</v>
      </c>
      <c r="P19" s="18">
        <v>40634</v>
      </c>
      <c r="Q19">
        <v>116.43787102100001</v>
      </c>
    </row>
    <row r="20" spans="5:17" x14ac:dyDescent="0.3">
      <c r="I20" s="18">
        <v>40725</v>
      </c>
      <c r="J20">
        <v>11.1</v>
      </c>
      <c r="K20">
        <v>-0.04</v>
      </c>
      <c r="P20" s="18">
        <v>40664</v>
      </c>
      <c r="Q20">
        <v>116.799263045</v>
      </c>
    </row>
    <row r="21" spans="5:17" x14ac:dyDescent="0.3">
      <c r="I21" s="18">
        <v>40756</v>
      </c>
      <c r="J21">
        <v>10.37</v>
      </c>
      <c r="K21">
        <v>-0.18</v>
      </c>
      <c r="P21" s="18">
        <v>40695</v>
      </c>
      <c r="Q21">
        <v>116.561543074</v>
      </c>
    </row>
    <row r="22" spans="5:17" x14ac:dyDescent="0.3">
      <c r="I22" s="18">
        <v>40787</v>
      </c>
      <c r="J22">
        <v>8.74</v>
      </c>
      <c r="K22">
        <v>0.78</v>
      </c>
      <c r="P22" s="18">
        <v>40725</v>
      </c>
      <c r="Q22">
        <v>116.886226908</v>
      </c>
    </row>
    <row r="23" spans="5:17" x14ac:dyDescent="0.3">
      <c r="I23" s="18">
        <v>40817</v>
      </c>
      <c r="J23">
        <v>8.56</v>
      </c>
      <c r="K23">
        <v>0.33</v>
      </c>
      <c r="P23" s="18">
        <v>40756</v>
      </c>
      <c r="Q23">
        <v>117.32210258000001</v>
      </c>
    </row>
    <row r="24" spans="5:17" x14ac:dyDescent="0.3">
      <c r="I24" s="18">
        <v>40848</v>
      </c>
      <c r="J24">
        <v>8.07</v>
      </c>
      <c r="K24">
        <v>0.46</v>
      </c>
      <c r="P24" s="18">
        <v>40787</v>
      </c>
      <c r="Q24">
        <v>118.22217565</v>
      </c>
    </row>
    <row r="25" spans="5:17" x14ac:dyDescent="0.3">
      <c r="I25" s="18">
        <v>40878</v>
      </c>
      <c r="J25">
        <v>6.74</v>
      </c>
      <c r="K25">
        <v>0.32</v>
      </c>
      <c r="P25" s="18">
        <v>40817</v>
      </c>
      <c r="Q25">
        <v>118.58726639</v>
      </c>
    </row>
    <row r="26" spans="5:17" x14ac:dyDescent="0.3">
      <c r="I26" s="18">
        <v>40909</v>
      </c>
      <c r="J26">
        <v>4.58</v>
      </c>
      <c r="K26">
        <v>0.33</v>
      </c>
      <c r="P26" s="18">
        <v>40848</v>
      </c>
      <c r="Q26">
        <v>119.04444522199999</v>
      </c>
    </row>
    <row r="27" spans="5:17" x14ac:dyDescent="0.3">
      <c r="I27" s="18">
        <v>40940</v>
      </c>
      <c r="J27">
        <v>4.53</v>
      </c>
      <c r="K27">
        <v>1.02</v>
      </c>
      <c r="P27" s="18">
        <v>40878</v>
      </c>
      <c r="Q27">
        <v>119.13194751499999</v>
      </c>
    </row>
    <row r="28" spans="5:17" x14ac:dyDescent="0.3">
      <c r="I28" s="18">
        <v>40969</v>
      </c>
      <c r="J28">
        <v>4.08</v>
      </c>
      <c r="K28">
        <v>0.68</v>
      </c>
      <c r="P28" s="18">
        <v>40909</v>
      </c>
      <c r="Q28">
        <v>119.15198157499999</v>
      </c>
    </row>
    <row r="29" spans="5:17" x14ac:dyDescent="0.3">
      <c r="I29" s="18">
        <v>41000</v>
      </c>
      <c r="J29">
        <v>3.89</v>
      </c>
      <c r="K29">
        <v>0.42</v>
      </c>
      <c r="P29" s="18">
        <v>40940</v>
      </c>
      <c r="Q29">
        <v>120.10058371700001</v>
      </c>
    </row>
    <row r="30" spans="5:17" x14ac:dyDescent="0.3">
      <c r="I30" s="18">
        <v>41030</v>
      </c>
      <c r="J30">
        <v>4.93</v>
      </c>
      <c r="K30">
        <v>1.32</v>
      </c>
      <c r="P30" s="18">
        <v>40969</v>
      </c>
      <c r="Q30">
        <v>120.707360733</v>
      </c>
    </row>
    <row r="31" spans="5:17" x14ac:dyDescent="0.3">
      <c r="I31" s="18">
        <v>41061</v>
      </c>
      <c r="J31">
        <v>6.15</v>
      </c>
      <c r="K31">
        <v>0.55000000000000004</v>
      </c>
      <c r="P31" s="18">
        <v>41000</v>
      </c>
      <c r="Q31">
        <v>120.957664947</v>
      </c>
    </row>
    <row r="32" spans="5:17" x14ac:dyDescent="0.3">
      <c r="I32" s="18">
        <v>41091</v>
      </c>
      <c r="J32">
        <v>7.9</v>
      </c>
      <c r="K32">
        <v>1.61</v>
      </c>
      <c r="P32" s="18">
        <v>41030</v>
      </c>
      <c r="Q32">
        <v>122.551685694</v>
      </c>
    </row>
    <row r="33" spans="9:17" x14ac:dyDescent="0.3">
      <c r="I33" s="18">
        <v>41122</v>
      </c>
      <c r="J33">
        <v>8.18</v>
      </c>
      <c r="K33">
        <v>0.08</v>
      </c>
      <c r="P33" s="18">
        <v>41061</v>
      </c>
      <c r="Q33">
        <v>123.726150011</v>
      </c>
    </row>
    <row r="34" spans="9:17" x14ac:dyDescent="0.3">
      <c r="I34" s="18">
        <v>41153</v>
      </c>
      <c r="J34">
        <v>7.79</v>
      </c>
      <c r="K34">
        <v>0.42</v>
      </c>
      <c r="P34" s="18">
        <v>41091</v>
      </c>
      <c r="Q34">
        <v>126.109907955</v>
      </c>
    </row>
    <row r="35" spans="9:17" x14ac:dyDescent="0.3">
      <c r="I35" s="18">
        <v>41183</v>
      </c>
      <c r="J35">
        <v>7.93</v>
      </c>
      <c r="K35">
        <v>0.46</v>
      </c>
      <c r="P35" s="18">
        <v>41122</v>
      </c>
      <c r="Q35">
        <v>126.90934691</v>
      </c>
    </row>
    <row r="36" spans="9:17" x14ac:dyDescent="0.3">
      <c r="I36" s="18">
        <v>41214</v>
      </c>
      <c r="J36">
        <v>8.18</v>
      </c>
      <c r="K36">
        <v>0.7</v>
      </c>
      <c r="L36" s="3">
        <f t="shared" ref="L36:L99" si="0">AVERAGE(K33:K35)</f>
        <v>0.32</v>
      </c>
      <c r="P36" s="18">
        <v>41153</v>
      </c>
      <c r="Q36">
        <v>127.437573364</v>
      </c>
    </row>
    <row r="37" spans="9:17" x14ac:dyDescent="0.3">
      <c r="I37" s="18">
        <v>41244</v>
      </c>
      <c r="J37">
        <v>8.75</v>
      </c>
      <c r="K37">
        <v>0.84</v>
      </c>
      <c r="L37" s="3">
        <f t="shared" si="0"/>
        <v>0.52666666666666673</v>
      </c>
      <c r="P37" s="18">
        <v>41183</v>
      </c>
      <c r="Q37">
        <v>127.991593842</v>
      </c>
    </row>
    <row r="38" spans="9:17" x14ac:dyDescent="0.3">
      <c r="I38" s="18">
        <v>41275</v>
      </c>
      <c r="J38">
        <v>9.19</v>
      </c>
      <c r="K38">
        <v>0.74</v>
      </c>
      <c r="L38" s="3">
        <f t="shared" si="0"/>
        <v>0.66666666666666663</v>
      </c>
      <c r="P38" s="18">
        <v>41214</v>
      </c>
      <c r="Q38">
        <v>128.790034953</v>
      </c>
    </row>
    <row r="39" spans="9:17" x14ac:dyDescent="0.3">
      <c r="I39" s="18">
        <v>41306</v>
      </c>
      <c r="J39">
        <v>8.64</v>
      </c>
      <c r="K39">
        <v>0.51</v>
      </c>
      <c r="L39" s="3">
        <f t="shared" si="0"/>
        <v>0.76000000000000012</v>
      </c>
      <c r="P39" s="18">
        <v>41244</v>
      </c>
      <c r="Q39">
        <v>129.55319611900001</v>
      </c>
    </row>
    <row r="40" spans="9:17" x14ac:dyDescent="0.3">
      <c r="I40" s="18">
        <v>41334</v>
      </c>
      <c r="J40">
        <v>8.4499999999999993</v>
      </c>
      <c r="K40">
        <v>0.5</v>
      </c>
      <c r="L40" s="3">
        <f t="shared" si="0"/>
        <v>0.69666666666666666</v>
      </c>
      <c r="P40" s="18">
        <v>41275</v>
      </c>
      <c r="Q40">
        <v>130.11402938200001</v>
      </c>
    </row>
    <row r="41" spans="9:17" x14ac:dyDescent="0.3">
      <c r="I41" s="18">
        <v>41365</v>
      </c>
      <c r="J41">
        <v>9.34</v>
      </c>
      <c r="K41">
        <v>1.25</v>
      </c>
      <c r="L41" s="3">
        <f t="shared" si="0"/>
        <v>0.58333333333333337</v>
      </c>
      <c r="P41" s="18">
        <v>41306</v>
      </c>
      <c r="Q41">
        <v>130.49122041699999</v>
      </c>
    </row>
    <row r="42" spans="9:17" x14ac:dyDescent="0.3">
      <c r="I42" s="18">
        <v>41395</v>
      </c>
      <c r="J42">
        <v>9.4700000000000006</v>
      </c>
      <c r="K42">
        <v>1.44</v>
      </c>
      <c r="L42" s="3">
        <f t="shared" si="0"/>
        <v>0.7533333333333333</v>
      </c>
      <c r="P42" s="18">
        <v>41334</v>
      </c>
      <c r="Q42">
        <v>130.91644576900001</v>
      </c>
    </row>
    <row r="43" spans="9:17" x14ac:dyDescent="0.3">
      <c r="I43" s="18">
        <v>41426</v>
      </c>
      <c r="J43">
        <v>8.9700000000000006</v>
      </c>
      <c r="K43">
        <v>0.09</v>
      </c>
      <c r="L43" s="3">
        <f t="shared" si="0"/>
        <v>1.0633333333333332</v>
      </c>
      <c r="P43" s="18">
        <v>41365</v>
      </c>
      <c r="Q43">
        <v>132.264160581</v>
      </c>
    </row>
    <row r="44" spans="9:17" x14ac:dyDescent="0.3">
      <c r="I44" s="18">
        <v>41456</v>
      </c>
      <c r="J44">
        <v>7.87</v>
      </c>
      <c r="K44">
        <v>0.57999999999999996</v>
      </c>
      <c r="L44" s="3">
        <f t="shared" si="0"/>
        <v>0.92666666666666664</v>
      </c>
      <c r="P44" s="18">
        <v>41395</v>
      </c>
      <c r="Q44">
        <v>134.16696981300001</v>
      </c>
    </row>
    <row r="45" spans="9:17" x14ac:dyDescent="0.3">
      <c r="I45" s="18">
        <v>41487</v>
      </c>
      <c r="J45">
        <v>7.38</v>
      </c>
      <c r="K45">
        <v>-0.38</v>
      </c>
      <c r="L45" s="3">
        <f t="shared" si="0"/>
        <v>0.70333333333333325</v>
      </c>
      <c r="P45" s="18">
        <v>41426</v>
      </c>
      <c r="Q45">
        <v>134.83080529599999</v>
      </c>
    </row>
    <row r="46" spans="9:17" x14ac:dyDescent="0.3">
      <c r="I46" s="18">
        <v>41518</v>
      </c>
      <c r="J46">
        <v>7.11</v>
      </c>
      <c r="K46">
        <v>0.17</v>
      </c>
      <c r="L46" s="3">
        <f t="shared" si="0"/>
        <v>9.6666666666666637E-2</v>
      </c>
      <c r="P46" s="18">
        <v>41456</v>
      </c>
      <c r="Q46">
        <v>136.03338159200001</v>
      </c>
    </row>
    <row r="47" spans="9:17" x14ac:dyDescent="0.3">
      <c r="I47" s="18">
        <v>41548</v>
      </c>
      <c r="J47">
        <v>7.71</v>
      </c>
      <c r="K47">
        <v>1.03</v>
      </c>
      <c r="L47" s="3">
        <f t="shared" si="0"/>
        <v>0.12333333333333334</v>
      </c>
      <c r="P47" s="18">
        <v>41487</v>
      </c>
      <c r="Q47">
        <v>136.26540239299999</v>
      </c>
    </row>
    <row r="48" spans="9:17" x14ac:dyDescent="0.3">
      <c r="I48" s="18">
        <v>41579</v>
      </c>
      <c r="J48">
        <v>7.64</v>
      </c>
      <c r="K48">
        <v>0.63</v>
      </c>
      <c r="L48" s="3">
        <f t="shared" si="0"/>
        <v>0.27333333333333337</v>
      </c>
      <c r="P48" s="18">
        <v>41518</v>
      </c>
      <c r="Q48">
        <v>136.50199075</v>
      </c>
    </row>
    <row r="49" spans="9:17" x14ac:dyDescent="0.3">
      <c r="I49" s="18">
        <v>41609</v>
      </c>
      <c r="J49">
        <v>7.49</v>
      </c>
      <c r="K49">
        <v>0.7</v>
      </c>
      <c r="L49" s="3">
        <f t="shared" si="0"/>
        <v>0.61</v>
      </c>
      <c r="P49" s="18">
        <v>41548</v>
      </c>
      <c r="Q49">
        <v>137.86626895800001</v>
      </c>
    </row>
    <row r="50" spans="9:17" x14ac:dyDescent="0.3">
      <c r="I50" s="18">
        <v>41640</v>
      </c>
      <c r="J50">
        <v>6.87</v>
      </c>
      <c r="K50">
        <v>0.16</v>
      </c>
      <c r="L50" s="3">
        <f t="shared" si="0"/>
        <v>0.78666666666666674</v>
      </c>
      <c r="P50" s="18">
        <v>41579</v>
      </c>
      <c r="Q50">
        <v>138.62696088499999</v>
      </c>
    </row>
    <row r="51" spans="9:17" x14ac:dyDescent="0.3">
      <c r="I51" s="18">
        <v>41671</v>
      </c>
      <c r="J51">
        <v>6.99</v>
      </c>
      <c r="K51">
        <v>0.62</v>
      </c>
      <c r="L51" s="3">
        <f t="shared" si="0"/>
        <v>0.49666666666666665</v>
      </c>
      <c r="P51" s="18">
        <v>41609</v>
      </c>
      <c r="Q51">
        <v>139.25428996700001</v>
      </c>
    </row>
    <row r="52" spans="9:17" x14ac:dyDescent="0.3">
      <c r="I52" s="18">
        <v>41699</v>
      </c>
      <c r="J52">
        <v>7.48</v>
      </c>
      <c r="K52">
        <v>0.96</v>
      </c>
      <c r="L52" s="3">
        <f t="shared" si="0"/>
        <v>0.49333333333333335</v>
      </c>
      <c r="P52" s="18">
        <v>41640</v>
      </c>
      <c r="Q52">
        <v>139.058976196</v>
      </c>
    </row>
    <row r="53" spans="9:17" x14ac:dyDescent="0.3">
      <c r="I53" s="18">
        <v>41730</v>
      </c>
      <c r="J53">
        <v>6.82</v>
      </c>
      <c r="K53">
        <v>0.63</v>
      </c>
      <c r="L53" s="3">
        <f t="shared" si="0"/>
        <v>0.57999999999999996</v>
      </c>
      <c r="P53" s="18">
        <v>41671</v>
      </c>
      <c r="Q53">
        <v>139.61612064600001</v>
      </c>
    </row>
    <row r="54" spans="9:17" x14ac:dyDescent="0.3">
      <c r="I54" s="18">
        <v>41760</v>
      </c>
      <c r="J54">
        <v>6</v>
      </c>
      <c r="K54">
        <v>0.65</v>
      </c>
      <c r="L54" s="3">
        <f t="shared" si="0"/>
        <v>0.73666666666666669</v>
      </c>
      <c r="P54" s="18">
        <v>41699</v>
      </c>
      <c r="Q54">
        <v>140.710952201</v>
      </c>
    </row>
    <row r="55" spans="9:17" x14ac:dyDescent="0.3">
      <c r="I55" s="18">
        <v>41791</v>
      </c>
      <c r="J55">
        <v>5.92</v>
      </c>
      <c r="K55">
        <v>0.01</v>
      </c>
      <c r="L55" s="3">
        <f t="shared" si="0"/>
        <v>0.74666666666666659</v>
      </c>
      <c r="P55" s="18">
        <v>41730</v>
      </c>
      <c r="Q55">
        <v>141.28209823399999</v>
      </c>
    </row>
    <row r="56" spans="9:17" x14ac:dyDescent="0.3">
      <c r="I56" s="18">
        <v>41821</v>
      </c>
      <c r="J56">
        <v>5.28</v>
      </c>
      <c r="K56">
        <v>-0.02</v>
      </c>
      <c r="L56" s="3">
        <f t="shared" si="0"/>
        <v>0.43</v>
      </c>
      <c r="P56" s="18">
        <v>41760</v>
      </c>
      <c r="Q56">
        <v>142.20595620399999</v>
      </c>
    </row>
    <row r="57" spans="9:17" x14ac:dyDescent="0.3">
      <c r="I57" s="18">
        <v>41852</v>
      </c>
      <c r="J57">
        <v>6.13</v>
      </c>
      <c r="K57">
        <v>0.42</v>
      </c>
      <c r="L57" s="3">
        <f t="shared" si="0"/>
        <v>0.21333333333333335</v>
      </c>
      <c r="P57" s="18">
        <v>41791</v>
      </c>
      <c r="Q57">
        <v>142.79269490799999</v>
      </c>
    </row>
    <row r="58" spans="9:17" x14ac:dyDescent="0.3">
      <c r="I58" s="18">
        <v>41883</v>
      </c>
      <c r="J58">
        <v>7.23</v>
      </c>
      <c r="K58">
        <v>1.22</v>
      </c>
      <c r="L58" s="3">
        <f t="shared" si="0"/>
        <v>0.13666666666666666</v>
      </c>
      <c r="P58" s="18">
        <v>41821</v>
      </c>
      <c r="Q58">
        <v>143.20750873599999</v>
      </c>
    </row>
    <row r="59" spans="9:17" x14ac:dyDescent="0.3">
      <c r="I59" s="18">
        <v>41913</v>
      </c>
      <c r="J59">
        <v>6.78</v>
      </c>
      <c r="K59">
        <v>0.6</v>
      </c>
      <c r="L59" s="3">
        <f t="shared" si="0"/>
        <v>0.53999999999999992</v>
      </c>
      <c r="P59" s="18">
        <v>41852</v>
      </c>
      <c r="Q59">
        <v>144.600199487</v>
      </c>
    </row>
    <row r="60" spans="9:17" x14ac:dyDescent="0.3">
      <c r="I60" s="18">
        <v>41944</v>
      </c>
      <c r="J60">
        <v>7.15</v>
      </c>
      <c r="K60">
        <v>0.98</v>
      </c>
      <c r="L60" s="3">
        <f t="shared" si="0"/>
        <v>0.74666666666666659</v>
      </c>
      <c r="P60" s="18">
        <v>41883</v>
      </c>
      <c r="Q60">
        <v>146.378754891</v>
      </c>
    </row>
    <row r="61" spans="9:17" x14ac:dyDescent="0.3">
      <c r="I61" s="18">
        <v>41974</v>
      </c>
      <c r="J61">
        <v>8.4600000000000009</v>
      </c>
      <c r="K61">
        <v>1.94</v>
      </c>
      <c r="L61" s="31">
        <f t="shared" si="0"/>
        <v>0.93333333333333324</v>
      </c>
      <c r="P61" s="18">
        <v>41913</v>
      </c>
      <c r="Q61">
        <v>147.20725151299999</v>
      </c>
    </row>
    <row r="62" spans="9:17" x14ac:dyDescent="0.3">
      <c r="I62" s="18">
        <v>42005</v>
      </c>
      <c r="J62">
        <v>12.74</v>
      </c>
      <c r="K62">
        <v>4.1100000000000003</v>
      </c>
      <c r="L62" s="31">
        <f t="shared" si="0"/>
        <v>1.1733333333333333</v>
      </c>
      <c r="P62" s="18">
        <v>41944</v>
      </c>
      <c r="Q62">
        <v>148.53190707900001</v>
      </c>
    </row>
    <row r="63" spans="9:17" x14ac:dyDescent="0.3">
      <c r="I63" s="18">
        <v>42036</v>
      </c>
      <c r="J63">
        <v>15.41</v>
      </c>
      <c r="K63">
        <v>3.01</v>
      </c>
      <c r="L63" s="31">
        <f t="shared" si="0"/>
        <v>2.3433333333333333</v>
      </c>
      <c r="P63" s="18">
        <v>41974</v>
      </c>
      <c r="Q63">
        <v>151.040978838</v>
      </c>
    </row>
    <row r="64" spans="9:17" x14ac:dyDescent="0.3">
      <c r="I64" s="18">
        <v>42064</v>
      </c>
      <c r="J64">
        <v>16.510000000000002</v>
      </c>
      <c r="K64">
        <v>1.92</v>
      </c>
      <c r="L64" s="31">
        <f t="shared" si="0"/>
        <v>3.02</v>
      </c>
      <c r="P64" s="18">
        <v>42005</v>
      </c>
      <c r="Q64">
        <v>156.78056097300001</v>
      </c>
    </row>
    <row r="65" spans="9:17" x14ac:dyDescent="0.3">
      <c r="I65" s="18">
        <v>42095</v>
      </c>
      <c r="J65">
        <v>17.22</v>
      </c>
      <c r="K65">
        <v>1.24</v>
      </c>
      <c r="L65" s="31">
        <f t="shared" si="0"/>
        <v>3.0133333333333332</v>
      </c>
      <c r="P65" s="18">
        <v>42036</v>
      </c>
      <c r="Q65">
        <v>161.147616666</v>
      </c>
    </row>
    <row r="66" spans="9:17" x14ac:dyDescent="0.3">
      <c r="I66" s="18">
        <v>42125</v>
      </c>
      <c r="J66">
        <v>16.89</v>
      </c>
      <c r="K66">
        <v>0.37</v>
      </c>
      <c r="L66" s="31">
        <f t="shared" si="0"/>
        <v>2.0566666666666666</v>
      </c>
      <c r="P66" s="18">
        <v>42064</v>
      </c>
      <c r="Q66">
        <v>163.956364847</v>
      </c>
    </row>
    <row r="67" spans="9:17" x14ac:dyDescent="0.3">
      <c r="I67" s="18">
        <v>42156</v>
      </c>
      <c r="J67">
        <v>16.55</v>
      </c>
      <c r="K67">
        <v>-0.28000000000000003</v>
      </c>
      <c r="L67" s="31">
        <f t="shared" si="0"/>
        <v>1.1766666666666667</v>
      </c>
      <c r="P67" s="18">
        <v>42095</v>
      </c>
      <c r="Q67">
        <v>165.611045636</v>
      </c>
    </row>
    <row r="68" spans="9:17" x14ac:dyDescent="0.3">
      <c r="I68" s="18">
        <v>42186</v>
      </c>
      <c r="J68">
        <v>16.96</v>
      </c>
      <c r="K68">
        <v>0.33</v>
      </c>
      <c r="L68" s="31">
        <f t="shared" si="0"/>
        <v>0.4433333333333333</v>
      </c>
      <c r="P68" s="18">
        <v>42125</v>
      </c>
      <c r="Q68">
        <v>166.23954863599999</v>
      </c>
    </row>
    <row r="69" spans="9:17" x14ac:dyDescent="0.3">
      <c r="I69" s="18">
        <v>42217</v>
      </c>
      <c r="J69">
        <v>16.989999999999998</v>
      </c>
      <c r="K69">
        <v>0.44</v>
      </c>
      <c r="L69" s="31">
        <f t="shared" si="0"/>
        <v>0.13999999999999999</v>
      </c>
      <c r="P69" s="18">
        <v>42156</v>
      </c>
      <c r="Q69">
        <v>166.43481207900001</v>
      </c>
    </row>
    <row r="70" spans="9:17" x14ac:dyDescent="0.3">
      <c r="I70" s="18">
        <v>42248</v>
      </c>
      <c r="J70">
        <v>16.739999999999998</v>
      </c>
      <c r="K70">
        <v>1</v>
      </c>
      <c r="L70" s="31">
        <f t="shared" si="0"/>
        <v>0.16333333333333333</v>
      </c>
      <c r="P70" s="18">
        <v>42186</v>
      </c>
      <c r="Q70">
        <v>167.500825857</v>
      </c>
    </row>
    <row r="71" spans="9:17" x14ac:dyDescent="0.3">
      <c r="I71" s="18">
        <v>42278</v>
      </c>
      <c r="J71">
        <v>17.57</v>
      </c>
      <c r="K71">
        <v>1.31</v>
      </c>
      <c r="L71" s="31">
        <f t="shared" si="0"/>
        <v>0.59</v>
      </c>
      <c r="P71" s="18">
        <v>42217</v>
      </c>
      <c r="Q71">
        <v>169.16053466100001</v>
      </c>
    </row>
    <row r="72" spans="9:17" x14ac:dyDescent="0.3">
      <c r="I72" s="18">
        <v>42309</v>
      </c>
      <c r="J72">
        <v>16.809999999999999</v>
      </c>
      <c r="K72">
        <v>0.32</v>
      </c>
      <c r="L72" s="31">
        <f t="shared" si="0"/>
        <v>0.91666666666666663</v>
      </c>
      <c r="P72" s="18">
        <v>42248</v>
      </c>
      <c r="Q72">
        <v>170.88211202799999</v>
      </c>
    </row>
    <row r="73" spans="9:17" x14ac:dyDescent="0.3">
      <c r="I73" s="18">
        <v>42339</v>
      </c>
      <c r="J73">
        <v>15.3</v>
      </c>
      <c r="K73">
        <v>0.62</v>
      </c>
      <c r="L73" s="31">
        <f t="shared" si="0"/>
        <v>0.87666666666666659</v>
      </c>
      <c r="P73" s="18">
        <v>42278</v>
      </c>
      <c r="Q73">
        <v>173.05574799499999</v>
      </c>
    </row>
    <row r="74" spans="9:17" x14ac:dyDescent="0.3">
      <c r="I74" s="18">
        <v>42370</v>
      </c>
      <c r="J74">
        <v>11.62</v>
      </c>
      <c r="K74">
        <v>0.79</v>
      </c>
      <c r="L74" s="31">
        <f t="shared" si="0"/>
        <v>0.75</v>
      </c>
      <c r="P74" s="18">
        <v>42309</v>
      </c>
      <c r="Q74">
        <v>173.46819951000001</v>
      </c>
    </row>
    <row r="75" spans="9:17" x14ac:dyDescent="0.3">
      <c r="I75" s="18">
        <v>42401</v>
      </c>
      <c r="J75">
        <v>9.0299999999999994</v>
      </c>
      <c r="K75">
        <v>0.62</v>
      </c>
      <c r="L75" s="31">
        <f t="shared" si="0"/>
        <v>0.57666666666666666</v>
      </c>
      <c r="P75" s="18">
        <v>42339</v>
      </c>
      <c r="Q75">
        <v>174.11956711400001</v>
      </c>
    </row>
    <row r="76" spans="9:17" x14ac:dyDescent="0.3">
      <c r="I76" s="18">
        <v>42430</v>
      </c>
      <c r="J76">
        <v>7.24</v>
      </c>
      <c r="K76">
        <v>0.25</v>
      </c>
      <c r="L76" s="31">
        <f t="shared" si="0"/>
        <v>0.67666666666666675</v>
      </c>
      <c r="P76" s="18">
        <v>42370</v>
      </c>
      <c r="Q76">
        <v>174.97547938899999</v>
      </c>
    </row>
    <row r="77" spans="9:17" x14ac:dyDescent="0.3">
      <c r="I77" s="18">
        <v>42461</v>
      </c>
      <c r="J77">
        <v>7.08</v>
      </c>
      <c r="K77">
        <v>1.0900000000000001</v>
      </c>
      <c r="L77" s="31">
        <f t="shared" si="0"/>
        <v>0.55333333333333334</v>
      </c>
      <c r="P77" s="18">
        <v>42401</v>
      </c>
      <c r="Q77">
        <v>175.676996901</v>
      </c>
    </row>
    <row r="78" spans="9:17" x14ac:dyDescent="0.3">
      <c r="I78" s="18">
        <v>42491</v>
      </c>
      <c r="J78">
        <v>6.91</v>
      </c>
      <c r="K78">
        <v>0.21</v>
      </c>
      <c r="L78" s="31">
        <f t="shared" si="0"/>
        <v>0.65333333333333332</v>
      </c>
      <c r="P78" s="18">
        <v>42430</v>
      </c>
      <c r="Q78">
        <v>175.81667964299999</v>
      </c>
    </row>
    <row r="79" spans="9:17" x14ac:dyDescent="0.3">
      <c r="I79" s="18">
        <v>42522</v>
      </c>
      <c r="J79">
        <v>7.47</v>
      </c>
      <c r="K79">
        <v>0.24</v>
      </c>
      <c r="L79" s="31">
        <f t="shared" si="0"/>
        <v>0.51666666666666672</v>
      </c>
      <c r="P79" s="18">
        <v>42461</v>
      </c>
      <c r="Q79">
        <v>177.32007078199999</v>
      </c>
    </row>
    <row r="80" spans="9:17" x14ac:dyDescent="0.3">
      <c r="I80" s="18">
        <v>42552</v>
      </c>
      <c r="J80">
        <v>7.77</v>
      </c>
      <c r="K80">
        <v>0.61</v>
      </c>
      <c r="L80" s="31">
        <f t="shared" si="0"/>
        <v>0.51333333333333331</v>
      </c>
      <c r="P80" s="18">
        <v>42491</v>
      </c>
      <c r="Q80">
        <v>177.714318289</v>
      </c>
    </row>
    <row r="81" spans="9:17" x14ac:dyDescent="0.3">
      <c r="I81" s="18">
        <v>42583</v>
      </c>
      <c r="J81">
        <v>7.39</v>
      </c>
      <c r="K81">
        <v>0.09</v>
      </c>
      <c r="L81" s="31">
        <f t="shared" si="0"/>
        <v>0.35333333333333333</v>
      </c>
      <c r="P81" s="18">
        <v>42522</v>
      </c>
      <c r="Q81">
        <v>178.83767496499999</v>
      </c>
    </row>
    <row r="82" spans="9:17" x14ac:dyDescent="0.3">
      <c r="I82" s="18">
        <v>42614</v>
      </c>
      <c r="J82">
        <v>6.18</v>
      </c>
      <c r="K82">
        <v>-0.13</v>
      </c>
      <c r="L82" s="31">
        <f t="shared" si="0"/>
        <v>0.3133333333333333</v>
      </c>
      <c r="P82" s="18">
        <v>42552</v>
      </c>
      <c r="Q82">
        <v>180.48168811799999</v>
      </c>
    </row>
    <row r="83" spans="9:17" x14ac:dyDescent="0.3">
      <c r="I83" s="18">
        <v>42644</v>
      </c>
      <c r="J83">
        <v>5.43</v>
      </c>
      <c r="K83">
        <v>0.6</v>
      </c>
      <c r="L83" s="31">
        <f t="shared" si="0"/>
        <v>0.18999999999999997</v>
      </c>
      <c r="P83" s="18">
        <v>42583</v>
      </c>
      <c r="Q83">
        <v>181.63416404899999</v>
      </c>
    </row>
    <row r="84" spans="9:17" x14ac:dyDescent="0.3">
      <c r="I84" s="18">
        <v>42675</v>
      </c>
      <c r="J84">
        <v>5.39</v>
      </c>
      <c r="K84">
        <v>0.28999999999999998</v>
      </c>
      <c r="L84" s="31">
        <f t="shared" si="0"/>
        <v>0.18666666666666665</v>
      </c>
      <c r="P84" s="18">
        <v>42614</v>
      </c>
      <c r="Q84">
        <v>181.44635764899999</v>
      </c>
    </row>
    <row r="85" spans="9:17" x14ac:dyDescent="0.3">
      <c r="I85" s="18">
        <v>42705</v>
      </c>
      <c r="J85">
        <v>6.13</v>
      </c>
      <c r="K85">
        <v>1.33</v>
      </c>
      <c r="L85" s="31">
        <f t="shared" si="0"/>
        <v>0.25333333333333335</v>
      </c>
      <c r="P85" s="18">
        <v>42644</v>
      </c>
      <c r="Q85">
        <v>182.46425527299999</v>
      </c>
    </row>
    <row r="86" spans="9:17" x14ac:dyDescent="0.3">
      <c r="I86" s="18">
        <v>42736</v>
      </c>
      <c r="J86">
        <v>5.79</v>
      </c>
      <c r="K86">
        <v>0.47</v>
      </c>
      <c r="L86" s="31">
        <f t="shared" si="0"/>
        <v>0.73999999999999988</v>
      </c>
      <c r="P86" s="18">
        <v>42675</v>
      </c>
      <c r="Q86">
        <v>182.836955394</v>
      </c>
    </row>
    <row r="87" spans="9:17" x14ac:dyDescent="0.3">
      <c r="I87" s="18">
        <v>42767</v>
      </c>
      <c r="J87">
        <v>5.49</v>
      </c>
      <c r="K87">
        <v>0.33</v>
      </c>
      <c r="L87" s="31">
        <f t="shared" si="0"/>
        <v>0.69666666666666666</v>
      </c>
      <c r="P87" s="18">
        <v>42705</v>
      </c>
      <c r="Q87">
        <v>184.824363175</v>
      </c>
    </row>
    <row r="88" spans="9:17" x14ac:dyDescent="0.3">
      <c r="I88" s="18">
        <v>42795</v>
      </c>
      <c r="J88">
        <v>5.44</v>
      </c>
      <c r="K88">
        <v>0.2</v>
      </c>
      <c r="L88" s="31">
        <f t="shared" si="0"/>
        <v>0.71</v>
      </c>
      <c r="P88" s="18">
        <v>42736</v>
      </c>
      <c r="Q88">
        <v>185.14480359300001</v>
      </c>
    </row>
    <row r="89" spans="9:17" x14ac:dyDescent="0.3">
      <c r="I89" s="18">
        <v>42826</v>
      </c>
      <c r="J89">
        <v>5.1100000000000003</v>
      </c>
      <c r="K89">
        <v>0.77</v>
      </c>
      <c r="L89" s="31">
        <f t="shared" si="0"/>
        <v>0.33333333333333331</v>
      </c>
      <c r="P89" s="18">
        <v>42767</v>
      </c>
      <c r="Q89">
        <v>185.34995218899999</v>
      </c>
    </row>
    <row r="90" spans="9:17" x14ac:dyDescent="0.3">
      <c r="I90" s="18">
        <v>42856</v>
      </c>
      <c r="J90">
        <v>5.37</v>
      </c>
      <c r="K90">
        <v>0.46</v>
      </c>
      <c r="L90" s="31">
        <f t="shared" si="0"/>
        <v>0.43333333333333335</v>
      </c>
      <c r="P90" s="18">
        <v>42795</v>
      </c>
      <c r="Q90">
        <v>185.40918818899999</v>
      </c>
    </row>
    <row r="91" spans="9:17" x14ac:dyDescent="0.3">
      <c r="I91" s="18">
        <v>42887</v>
      </c>
      <c r="J91">
        <v>5.72</v>
      </c>
      <c r="K91">
        <v>0.57999999999999996</v>
      </c>
      <c r="L91" s="31">
        <f t="shared" si="0"/>
        <v>0.47666666666666663</v>
      </c>
      <c r="P91" s="18">
        <v>42826</v>
      </c>
      <c r="Q91">
        <v>186.397048982</v>
      </c>
    </row>
    <row r="92" spans="9:17" x14ac:dyDescent="0.3">
      <c r="I92" s="18">
        <v>42917</v>
      </c>
      <c r="J92">
        <v>4.58</v>
      </c>
      <c r="K92">
        <v>-0.48</v>
      </c>
      <c r="L92" s="31">
        <f t="shared" si="0"/>
        <v>0.60333333333333339</v>
      </c>
      <c r="P92" s="18">
        <v>42856</v>
      </c>
      <c r="Q92">
        <v>187.28055389599999</v>
      </c>
    </row>
    <row r="93" spans="9:17" x14ac:dyDescent="0.3">
      <c r="I93" s="18">
        <v>42948</v>
      </c>
      <c r="J93">
        <v>3.96</v>
      </c>
      <c r="K93">
        <v>-0.51</v>
      </c>
      <c r="L93" s="31">
        <f t="shared" si="0"/>
        <v>0.18666666666666668</v>
      </c>
      <c r="P93" s="18">
        <v>42887</v>
      </c>
      <c r="Q93">
        <v>189.0912964</v>
      </c>
    </row>
    <row r="94" spans="9:17" x14ac:dyDescent="0.3">
      <c r="I94" s="18">
        <v>42979</v>
      </c>
      <c r="J94">
        <v>3.95</v>
      </c>
      <c r="K94">
        <v>-0.14000000000000001</v>
      </c>
      <c r="L94" s="31">
        <f t="shared" si="0"/>
        <v>-0.13666666666666669</v>
      </c>
      <c r="P94" s="18">
        <v>42917</v>
      </c>
      <c r="Q94">
        <v>188.76124529000001</v>
      </c>
    </row>
    <row r="95" spans="9:17" x14ac:dyDescent="0.3">
      <c r="I95" s="18">
        <v>43009</v>
      </c>
      <c r="J95">
        <v>3.5</v>
      </c>
      <c r="K95">
        <v>0.16</v>
      </c>
      <c r="L95" s="31">
        <f t="shared" si="0"/>
        <v>-0.37666666666666665</v>
      </c>
      <c r="P95" s="18">
        <v>42948</v>
      </c>
      <c r="Q95">
        <v>188.828778782</v>
      </c>
    </row>
    <row r="96" spans="9:17" x14ac:dyDescent="0.3">
      <c r="I96" s="18">
        <v>43040</v>
      </c>
      <c r="J96">
        <v>3.38</v>
      </c>
      <c r="K96">
        <v>0.18</v>
      </c>
      <c r="L96" s="31">
        <f t="shared" si="0"/>
        <v>-0.16333333333333333</v>
      </c>
      <c r="P96" s="18">
        <v>42979</v>
      </c>
      <c r="Q96">
        <v>188.62739009500001</v>
      </c>
    </row>
    <row r="97" spans="9:17" x14ac:dyDescent="0.3">
      <c r="I97" s="18">
        <v>43070</v>
      </c>
      <c r="J97">
        <v>2.48</v>
      </c>
      <c r="K97">
        <v>0.44</v>
      </c>
      <c r="L97" s="31">
        <f t="shared" si="0"/>
        <v>6.6666666666666666E-2</v>
      </c>
      <c r="P97" s="18">
        <v>43009</v>
      </c>
      <c r="Q97">
        <v>188.85489050199999</v>
      </c>
    </row>
    <row r="98" spans="9:17" x14ac:dyDescent="0.3">
      <c r="I98" s="18">
        <v>43101</v>
      </c>
      <c r="J98">
        <v>1.97</v>
      </c>
      <c r="K98">
        <v>-0.03</v>
      </c>
      <c r="L98" s="31">
        <f t="shared" si="0"/>
        <v>0.26</v>
      </c>
      <c r="P98" s="18">
        <v>43040</v>
      </c>
      <c r="Q98">
        <v>189.02356152499999</v>
      </c>
    </row>
    <row r="99" spans="9:17" x14ac:dyDescent="0.3">
      <c r="I99" s="18">
        <v>43132</v>
      </c>
      <c r="J99">
        <v>1.98</v>
      </c>
      <c r="K99">
        <v>0.34</v>
      </c>
      <c r="L99" s="31">
        <f t="shared" si="0"/>
        <v>0.19666666666666666</v>
      </c>
      <c r="P99" s="18">
        <v>43070</v>
      </c>
      <c r="Q99">
        <v>189.41126489000001</v>
      </c>
    </row>
    <row r="100" spans="9:17" x14ac:dyDescent="0.3">
      <c r="I100" s="18">
        <v>43160</v>
      </c>
      <c r="J100">
        <v>1.86</v>
      </c>
      <c r="K100">
        <v>0.08</v>
      </c>
      <c r="L100" s="31">
        <f t="shared" ref="L100:L163" si="1">AVERAGE(K97:K99)</f>
        <v>0.25</v>
      </c>
      <c r="P100" s="18">
        <v>43101</v>
      </c>
      <c r="Q100">
        <v>188.795017763</v>
      </c>
    </row>
    <row r="101" spans="9:17" x14ac:dyDescent="0.3">
      <c r="I101" s="18">
        <v>43191</v>
      </c>
      <c r="J101">
        <v>1.58</v>
      </c>
      <c r="K101">
        <v>0.5</v>
      </c>
      <c r="L101" s="31">
        <f t="shared" si="1"/>
        <v>0.13000000000000003</v>
      </c>
      <c r="P101" s="18">
        <v>43132</v>
      </c>
      <c r="Q101">
        <v>189.01940363099999</v>
      </c>
    </row>
    <row r="102" spans="9:17" x14ac:dyDescent="0.3">
      <c r="I102" s="18">
        <v>43221</v>
      </c>
      <c r="J102">
        <v>1.21</v>
      </c>
      <c r="K102">
        <v>0.09</v>
      </c>
      <c r="L102" s="31">
        <f t="shared" si="1"/>
        <v>0.3066666666666667</v>
      </c>
      <c r="P102" s="18">
        <v>43160</v>
      </c>
      <c r="Q102">
        <v>188.85418611</v>
      </c>
    </row>
    <row r="103" spans="9:17" x14ac:dyDescent="0.3">
      <c r="I103" s="18">
        <v>43252</v>
      </c>
      <c r="J103">
        <v>1.27</v>
      </c>
      <c r="K103">
        <v>0.64</v>
      </c>
      <c r="L103" s="31">
        <f t="shared" si="1"/>
        <v>0.2233333333333333</v>
      </c>
      <c r="P103" s="18">
        <v>43191</v>
      </c>
      <c r="Q103">
        <v>189.349017291</v>
      </c>
    </row>
    <row r="104" spans="9:17" x14ac:dyDescent="0.3">
      <c r="I104" s="18">
        <v>43282</v>
      </c>
      <c r="J104">
        <v>1.88</v>
      </c>
      <c r="K104">
        <v>0.12</v>
      </c>
      <c r="L104" s="31">
        <f t="shared" si="1"/>
        <v>0.41</v>
      </c>
      <c r="P104" s="18">
        <v>43221</v>
      </c>
      <c r="Q104">
        <v>189.550352608</v>
      </c>
    </row>
    <row r="105" spans="9:17" x14ac:dyDescent="0.3">
      <c r="I105" s="18">
        <v>43313</v>
      </c>
      <c r="J105">
        <v>2.35</v>
      </c>
      <c r="K105">
        <v>-0.05</v>
      </c>
      <c r="L105" s="31">
        <f t="shared" si="1"/>
        <v>0.28333333333333333</v>
      </c>
      <c r="P105" s="18">
        <v>43252</v>
      </c>
      <c r="Q105">
        <v>191.492165172</v>
      </c>
    </row>
    <row r="106" spans="9:17" x14ac:dyDescent="0.3">
      <c r="I106" s="18">
        <v>43344</v>
      </c>
      <c r="J106">
        <v>2.1800000000000002</v>
      </c>
      <c r="K106">
        <v>-0.3</v>
      </c>
      <c r="L106" s="31">
        <f t="shared" si="1"/>
        <v>0.23666666666666666</v>
      </c>
      <c r="P106" s="18">
        <v>43282</v>
      </c>
      <c r="Q106">
        <v>192.30739459899999</v>
      </c>
    </row>
    <row r="107" spans="9:17" x14ac:dyDescent="0.3">
      <c r="I107" s="18">
        <v>43374</v>
      </c>
      <c r="J107">
        <v>2.11</v>
      </c>
      <c r="K107">
        <v>0.09</v>
      </c>
      <c r="L107" s="31">
        <f t="shared" si="1"/>
        <v>-7.6666666666666661E-2</v>
      </c>
      <c r="P107" s="18">
        <v>43313</v>
      </c>
      <c r="Q107">
        <v>193.26586833900001</v>
      </c>
    </row>
    <row r="108" spans="9:17" x14ac:dyDescent="0.3">
      <c r="I108" s="18">
        <v>43405</v>
      </c>
      <c r="J108">
        <v>2.81</v>
      </c>
      <c r="K108">
        <v>0.87</v>
      </c>
      <c r="L108" s="31">
        <f t="shared" si="1"/>
        <v>-8.666666666666667E-2</v>
      </c>
      <c r="P108" s="18">
        <v>43344</v>
      </c>
      <c r="Q108">
        <v>192.759306581</v>
      </c>
    </row>
    <row r="109" spans="9:17" x14ac:dyDescent="0.3">
      <c r="I109" s="18">
        <v>43435</v>
      </c>
      <c r="J109">
        <v>3.47</v>
      </c>
      <c r="K109">
        <v>1.08</v>
      </c>
      <c r="L109" s="31">
        <f t="shared" si="1"/>
        <v>0.22</v>
      </c>
      <c r="P109" s="18">
        <v>43374</v>
      </c>
      <c r="Q109">
        <v>192.85573122400001</v>
      </c>
    </row>
    <row r="110" spans="9:17" x14ac:dyDescent="0.3">
      <c r="I110" s="18">
        <v>43466</v>
      </c>
      <c r="J110">
        <v>4.68</v>
      </c>
      <c r="K110">
        <v>1.1399999999999999</v>
      </c>
      <c r="L110" s="31">
        <f t="shared" si="1"/>
        <v>0.68</v>
      </c>
      <c r="P110" s="18">
        <v>43405</v>
      </c>
      <c r="Q110">
        <v>194.34741135199999</v>
      </c>
    </row>
    <row r="111" spans="9:17" x14ac:dyDescent="0.3">
      <c r="I111" s="18">
        <v>43497</v>
      </c>
      <c r="J111">
        <v>5.07</v>
      </c>
      <c r="K111">
        <v>0.71</v>
      </c>
      <c r="L111" s="31">
        <f t="shared" si="1"/>
        <v>1.03</v>
      </c>
      <c r="P111" s="18">
        <v>43435</v>
      </c>
      <c r="Q111">
        <v>196.00073229200001</v>
      </c>
    </row>
    <row r="112" spans="9:17" x14ac:dyDescent="0.3">
      <c r="I112" s="18">
        <v>43525</v>
      </c>
      <c r="J112">
        <v>5.56</v>
      </c>
      <c r="K112">
        <v>0.55000000000000004</v>
      </c>
      <c r="L112" s="31">
        <f t="shared" si="1"/>
        <v>0.97666666666666657</v>
      </c>
      <c r="P112" s="18">
        <v>43466</v>
      </c>
      <c r="Q112">
        <v>197.645338743</v>
      </c>
    </row>
    <row r="113" spans="9:17" x14ac:dyDescent="0.3">
      <c r="I113" s="18">
        <v>43556</v>
      </c>
      <c r="J113">
        <v>5.65</v>
      </c>
      <c r="K113">
        <v>0.59</v>
      </c>
      <c r="L113" s="31">
        <f t="shared" si="1"/>
        <v>0.79999999999999993</v>
      </c>
      <c r="P113" s="18">
        <v>43497</v>
      </c>
      <c r="Q113">
        <v>198.60496156400001</v>
      </c>
    </row>
    <row r="114" spans="9:17" x14ac:dyDescent="0.3">
      <c r="I114" s="18">
        <v>43586</v>
      </c>
      <c r="J114">
        <v>6.12</v>
      </c>
      <c r="K114">
        <v>0.53</v>
      </c>
      <c r="L114" s="31">
        <f t="shared" si="1"/>
        <v>0.6166666666666667</v>
      </c>
      <c r="P114" s="18">
        <v>43525</v>
      </c>
      <c r="Q114">
        <v>199.36151167899999</v>
      </c>
    </row>
    <row r="115" spans="9:17" x14ac:dyDescent="0.3">
      <c r="I115" s="18">
        <v>43617</v>
      </c>
      <c r="J115">
        <v>5.0199999999999996</v>
      </c>
      <c r="K115">
        <v>-0.41</v>
      </c>
      <c r="L115" s="31">
        <f t="shared" si="1"/>
        <v>0.55666666666666675</v>
      </c>
      <c r="P115" s="18">
        <v>43556</v>
      </c>
      <c r="Q115">
        <v>200.06023554199999</v>
      </c>
    </row>
    <row r="116" spans="9:17" x14ac:dyDescent="0.3">
      <c r="I116" s="18">
        <v>43647</v>
      </c>
      <c r="J116">
        <v>4.8099999999999996</v>
      </c>
      <c r="K116">
        <v>-0.08</v>
      </c>
      <c r="L116" s="31">
        <f t="shared" si="1"/>
        <v>0.23666666666666672</v>
      </c>
      <c r="P116" s="18">
        <v>43586</v>
      </c>
      <c r="Q116">
        <v>201.158119691</v>
      </c>
    </row>
    <row r="117" spans="9:17" x14ac:dyDescent="0.3">
      <c r="I117" s="18">
        <v>43678</v>
      </c>
      <c r="J117">
        <v>4.68</v>
      </c>
      <c r="K117">
        <v>-0.17</v>
      </c>
      <c r="L117" s="31">
        <f t="shared" si="1"/>
        <v>1.333333333333335E-2</v>
      </c>
      <c r="P117" s="18">
        <v>43617</v>
      </c>
      <c r="Q117">
        <v>201.10010532999999</v>
      </c>
    </row>
    <row r="118" spans="9:17" x14ac:dyDescent="0.3">
      <c r="I118" s="18">
        <v>43709</v>
      </c>
      <c r="J118">
        <v>4.66</v>
      </c>
      <c r="K118">
        <v>-0.32</v>
      </c>
      <c r="L118" s="31">
        <f t="shared" si="1"/>
        <v>-0.22</v>
      </c>
      <c r="P118" s="18">
        <v>43647</v>
      </c>
      <c r="Q118">
        <v>201.55042638399999</v>
      </c>
    </row>
    <row r="119" spans="9:17" x14ac:dyDescent="0.3">
      <c r="I119" s="18">
        <v>43739</v>
      </c>
      <c r="J119">
        <v>4.8899999999999997</v>
      </c>
      <c r="K119">
        <v>0.3</v>
      </c>
      <c r="L119" s="31">
        <f t="shared" si="1"/>
        <v>-0.19000000000000003</v>
      </c>
      <c r="P119" s="18">
        <v>43678</v>
      </c>
      <c r="Q119">
        <v>202.31311591100001</v>
      </c>
    </row>
    <row r="120" spans="9:17" x14ac:dyDescent="0.3">
      <c r="I120" s="18">
        <v>43770</v>
      </c>
      <c r="J120">
        <v>4.3899999999999997</v>
      </c>
      <c r="K120">
        <v>0.39</v>
      </c>
      <c r="L120" s="31">
        <f t="shared" si="1"/>
        <v>-6.3333333333333339E-2</v>
      </c>
      <c r="P120" s="18">
        <v>43709</v>
      </c>
      <c r="Q120">
        <v>201.74436098300001</v>
      </c>
    </row>
    <row r="121" spans="9:17" x14ac:dyDescent="0.3">
      <c r="I121" s="18">
        <v>43800</v>
      </c>
      <c r="J121">
        <v>3.69</v>
      </c>
      <c r="K121">
        <v>0.41</v>
      </c>
      <c r="L121" s="31">
        <f t="shared" si="1"/>
        <v>0.12333333333333334</v>
      </c>
      <c r="P121" s="18">
        <v>43739</v>
      </c>
      <c r="Q121">
        <v>202.264464119</v>
      </c>
    </row>
    <row r="122" spans="9:17" x14ac:dyDescent="0.3">
      <c r="I122" s="18">
        <v>43831</v>
      </c>
      <c r="J122">
        <v>3.03</v>
      </c>
      <c r="K122">
        <v>0.5</v>
      </c>
      <c r="L122" s="31">
        <f t="shared" si="1"/>
        <v>0.36666666666666664</v>
      </c>
      <c r="P122" s="18">
        <v>43770</v>
      </c>
      <c r="Q122">
        <v>202.85137339900001</v>
      </c>
    </row>
    <row r="123" spans="9:17" x14ac:dyDescent="0.3">
      <c r="I123" s="18">
        <v>43862</v>
      </c>
      <c r="J123">
        <v>2.71</v>
      </c>
      <c r="K123">
        <v>0.4</v>
      </c>
      <c r="L123" s="31">
        <f t="shared" si="1"/>
        <v>0.43333333333333335</v>
      </c>
      <c r="P123" s="18">
        <v>43800</v>
      </c>
      <c r="Q123">
        <v>203.23988387399999</v>
      </c>
    </row>
    <row r="124" spans="9:17" x14ac:dyDescent="0.3">
      <c r="I124" s="18">
        <v>43891</v>
      </c>
      <c r="J124">
        <v>2.84</v>
      </c>
      <c r="K124">
        <v>0.67</v>
      </c>
      <c r="L124" s="31">
        <f t="shared" si="1"/>
        <v>0.4366666666666667</v>
      </c>
      <c r="P124" s="18">
        <v>43831</v>
      </c>
      <c r="Q124">
        <v>203.64694155000001</v>
      </c>
    </row>
    <row r="125" spans="9:17" x14ac:dyDescent="0.3">
      <c r="I125" s="18">
        <v>43922</v>
      </c>
      <c r="J125">
        <v>3.57</v>
      </c>
      <c r="K125">
        <v>1.3</v>
      </c>
      <c r="L125" s="31">
        <f t="shared" si="1"/>
        <v>0.52333333333333332</v>
      </c>
      <c r="P125" s="18">
        <v>43862</v>
      </c>
      <c r="Q125">
        <v>204.00170041999999</v>
      </c>
    </row>
    <row r="126" spans="9:17" x14ac:dyDescent="0.3">
      <c r="I126" s="18">
        <v>43952</v>
      </c>
      <c r="J126">
        <v>3.14</v>
      </c>
      <c r="K126">
        <v>0.12</v>
      </c>
      <c r="L126" s="31">
        <f t="shared" si="1"/>
        <v>0.79</v>
      </c>
      <c r="P126" s="18">
        <v>43891</v>
      </c>
      <c r="Q126">
        <v>205.020543487</v>
      </c>
    </row>
    <row r="127" spans="9:17" x14ac:dyDescent="0.3">
      <c r="I127" s="18">
        <v>43983</v>
      </c>
      <c r="J127">
        <v>3.57</v>
      </c>
      <c r="K127">
        <v>0.01</v>
      </c>
      <c r="L127" s="31">
        <f t="shared" si="1"/>
        <v>0.69666666666666677</v>
      </c>
      <c r="P127" s="18">
        <v>43922</v>
      </c>
      <c r="Q127">
        <v>207.19036581899999</v>
      </c>
    </row>
    <row r="128" spans="9:17" x14ac:dyDescent="0.3">
      <c r="I128" s="18">
        <v>44013</v>
      </c>
      <c r="J128">
        <v>3.5</v>
      </c>
      <c r="K128">
        <v>-0.15</v>
      </c>
      <c r="L128" s="31">
        <f t="shared" si="1"/>
        <v>0.47666666666666663</v>
      </c>
      <c r="P128" s="18">
        <v>43952</v>
      </c>
      <c r="Q128">
        <v>207.48253275900001</v>
      </c>
    </row>
    <row r="129" spans="9:17" x14ac:dyDescent="0.3">
      <c r="I129" s="18">
        <v>44044</v>
      </c>
      <c r="J129">
        <v>3.79</v>
      </c>
      <c r="K129">
        <v>0.11</v>
      </c>
      <c r="L129" s="31">
        <f t="shared" si="1"/>
        <v>-6.6666666666666636E-3</v>
      </c>
      <c r="P129" s="18">
        <v>43983</v>
      </c>
      <c r="Q129">
        <v>208.297809532</v>
      </c>
    </row>
    <row r="130" spans="9:17" x14ac:dyDescent="0.3">
      <c r="I130" s="18">
        <v>44075</v>
      </c>
      <c r="J130">
        <v>4.26</v>
      </c>
      <c r="K130">
        <v>0.13</v>
      </c>
      <c r="L130" s="31">
        <f t="shared" si="1"/>
        <v>-9.999999999999995E-3</v>
      </c>
      <c r="P130" s="18">
        <v>44013</v>
      </c>
      <c r="Q130">
        <v>208.61361813900001</v>
      </c>
    </row>
    <row r="131" spans="9:17" x14ac:dyDescent="0.3">
      <c r="I131" s="18">
        <v>44105</v>
      </c>
      <c r="J131">
        <v>4.47</v>
      </c>
      <c r="K131">
        <v>0.5</v>
      </c>
      <c r="L131" s="31">
        <f t="shared" si="1"/>
        <v>3.0000000000000002E-2</v>
      </c>
      <c r="P131" s="18">
        <v>44044</v>
      </c>
      <c r="Q131">
        <v>209.99331692300001</v>
      </c>
    </row>
    <row r="132" spans="9:17" x14ac:dyDescent="0.3">
      <c r="I132" s="18">
        <v>44136</v>
      </c>
      <c r="J132">
        <v>4.87</v>
      </c>
      <c r="K132">
        <v>0.78</v>
      </c>
      <c r="L132" s="31">
        <f t="shared" si="1"/>
        <v>0.24666666666666667</v>
      </c>
      <c r="P132" s="18">
        <v>44075</v>
      </c>
      <c r="Q132">
        <v>210.343732856</v>
      </c>
    </row>
    <row r="133" spans="9:17" x14ac:dyDescent="0.3">
      <c r="I133" s="18">
        <v>44166</v>
      </c>
      <c r="J133">
        <v>5.39</v>
      </c>
      <c r="K133">
        <v>0.9</v>
      </c>
      <c r="L133" s="31">
        <f t="shared" si="1"/>
        <v>0.47000000000000003</v>
      </c>
      <c r="P133" s="18">
        <v>44105</v>
      </c>
      <c r="Q133">
        <v>211.300985615</v>
      </c>
    </row>
    <row r="134" spans="9:17" x14ac:dyDescent="0.3">
      <c r="I134" s="18">
        <v>44197</v>
      </c>
      <c r="J134">
        <v>5.49</v>
      </c>
      <c r="K134">
        <v>0.6</v>
      </c>
      <c r="L134" s="31">
        <f t="shared" si="1"/>
        <v>0.72666666666666668</v>
      </c>
      <c r="P134" s="18">
        <v>44136</v>
      </c>
      <c r="Q134">
        <v>212.73052606900001</v>
      </c>
    </row>
    <row r="135" spans="9:17" x14ac:dyDescent="0.3">
      <c r="I135" s="18">
        <v>44228</v>
      </c>
      <c r="J135">
        <v>6.16</v>
      </c>
      <c r="K135">
        <v>1.03</v>
      </c>
      <c r="L135" s="31">
        <f t="shared" si="1"/>
        <v>0.76000000000000012</v>
      </c>
      <c r="P135" s="18">
        <v>44166</v>
      </c>
      <c r="Q135">
        <v>214.19804955199999</v>
      </c>
    </row>
    <row r="136" spans="9:17" x14ac:dyDescent="0.3">
      <c r="I136" s="18">
        <v>44256</v>
      </c>
      <c r="J136">
        <v>6.83</v>
      </c>
      <c r="K136">
        <v>1.31</v>
      </c>
      <c r="L136" s="31">
        <f t="shared" si="1"/>
        <v>0.84333333333333338</v>
      </c>
      <c r="P136" s="18">
        <v>44197</v>
      </c>
      <c r="Q136">
        <v>214.83823577800001</v>
      </c>
    </row>
    <row r="137" spans="9:17" x14ac:dyDescent="0.3">
      <c r="I137" s="18">
        <v>44287</v>
      </c>
      <c r="J137">
        <v>6.37</v>
      </c>
      <c r="K137">
        <v>0.86</v>
      </c>
      <c r="L137" s="31">
        <f t="shared" si="1"/>
        <v>0.98</v>
      </c>
      <c r="P137" s="18">
        <v>44228</v>
      </c>
      <c r="Q137">
        <v>216.55771191599999</v>
      </c>
    </row>
    <row r="138" spans="9:17" x14ac:dyDescent="0.3">
      <c r="I138" s="18">
        <v>44317</v>
      </c>
      <c r="J138">
        <v>6.69</v>
      </c>
      <c r="K138">
        <v>0.41</v>
      </c>
      <c r="L138" s="31">
        <f t="shared" si="1"/>
        <v>1.0666666666666667</v>
      </c>
      <c r="P138" s="18">
        <v>44256</v>
      </c>
      <c r="Q138">
        <v>219.023336868</v>
      </c>
    </row>
    <row r="139" spans="9:17" x14ac:dyDescent="0.3">
      <c r="I139" s="18">
        <v>44348</v>
      </c>
      <c r="J139">
        <v>7.27</v>
      </c>
      <c r="K139">
        <v>0.56000000000000005</v>
      </c>
      <c r="L139" s="31">
        <f t="shared" si="1"/>
        <v>0.86</v>
      </c>
      <c r="P139" s="18">
        <v>44287</v>
      </c>
      <c r="Q139">
        <v>220.385232804</v>
      </c>
    </row>
    <row r="140" spans="9:17" x14ac:dyDescent="0.3">
      <c r="I140" s="18">
        <v>44378</v>
      </c>
      <c r="J140">
        <v>7.66</v>
      </c>
      <c r="K140">
        <v>0.22</v>
      </c>
      <c r="L140" s="31">
        <f t="shared" si="1"/>
        <v>0.61</v>
      </c>
      <c r="P140" s="18">
        <v>44317</v>
      </c>
      <c r="Q140">
        <v>221.33905789400001</v>
      </c>
    </row>
    <row r="141" spans="9:17" x14ac:dyDescent="0.3">
      <c r="I141" s="18">
        <v>44409</v>
      </c>
      <c r="J141">
        <v>7.72</v>
      </c>
      <c r="K141">
        <v>0.16</v>
      </c>
      <c r="L141" s="31">
        <f t="shared" si="1"/>
        <v>0.39666666666666667</v>
      </c>
      <c r="P141" s="18">
        <v>44348</v>
      </c>
      <c r="Q141">
        <v>223.430311848</v>
      </c>
    </row>
    <row r="142" spans="9:17" x14ac:dyDescent="0.3">
      <c r="I142" s="18">
        <v>44440</v>
      </c>
      <c r="J142">
        <v>8.3699999999999992</v>
      </c>
      <c r="K142">
        <v>0.73</v>
      </c>
      <c r="L142" s="31">
        <f t="shared" si="1"/>
        <v>0.31333333333333335</v>
      </c>
      <c r="P142" s="18">
        <v>44378</v>
      </c>
      <c r="Q142">
        <v>224.59070690999999</v>
      </c>
    </row>
    <row r="143" spans="9:17" x14ac:dyDescent="0.3">
      <c r="I143" s="18">
        <v>44470</v>
      </c>
      <c r="J143">
        <v>8.83</v>
      </c>
      <c r="K143">
        <v>0.92</v>
      </c>
      <c r="L143" s="31">
        <f t="shared" si="1"/>
        <v>0.36999999999999994</v>
      </c>
      <c r="P143" s="18">
        <v>44409</v>
      </c>
      <c r="Q143">
        <v>226.19402114499999</v>
      </c>
    </row>
    <row r="144" spans="9:17" x14ac:dyDescent="0.3">
      <c r="I144" s="18">
        <v>44501</v>
      </c>
      <c r="J144">
        <v>8.91</v>
      </c>
      <c r="K144">
        <v>0.86</v>
      </c>
      <c r="L144" s="31">
        <f t="shared" si="1"/>
        <v>0.60333333333333339</v>
      </c>
      <c r="P144" s="18">
        <v>44440</v>
      </c>
      <c r="Q144">
        <v>227.92004441700001</v>
      </c>
    </row>
    <row r="145" spans="9:17" x14ac:dyDescent="0.3">
      <c r="I145" s="18">
        <v>44531</v>
      </c>
      <c r="J145">
        <v>8.17</v>
      </c>
      <c r="K145">
        <v>0.21</v>
      </c>
      <c r="L145" s="31">
        <f t="shared" si="1"/>
        <v>0.83666666666666656</v>
      </c>
      <c r="P145" s="18">
        <v>44470</v>
      </c>
      <c r="Q145">
        <v>229.90751728199999</v>
      </c>
    </row>
    <row r="146" spans="9:17" x14ac:dyDescent="0.3">
      <c r="I146" s="18">
        <v>44562</v>
      </c>
      <c r="J146">
        <v>8.84</v>
      </c>
      <c r="K146">
        <v>1.22</v>
      </c>
      <c r="L146" s="31">
        <f t="shared" si="1"/>
        <v>0.66333333333333333</v>
      </c>
      <c r="P146" s="18">
        <v>44501</v>
      </c>
      <c r="Q146">
        <v>231.64101637100001</v>
      </c>
    </row>
    <row r="147" spans="9:17" x14ac:dyDescent="0.3">
      <c r="I147" s="18">
        <v>44593</v>
      </c>
      <c r="J147">
        <v>8.73</v>
      </c>
      <c r="K147">
        <v>0.94</v>
      </c>
      <c r="L147" s="31">
        <f t="shared" si="1"/>
        <v>0.76333333333333331</v>
      </c>
      <c r="P147" s="18">
        <v>44531</v>
      </c>
      <c r="Q147">
        <v>231.66459878399999</v>
      </c>
    </row>
    <row r="148" spans="9:17" x14ac:dyDescent="0.3">
      <c r="I148" s="18">
        <v>44621</v>
      </c>
      <c r="J148">
        <v>13.29</v>
      </c>
      <c r="K148">
        <v>5.55</v>
      </c>
      <c r="L148" s="31">
        <f t="shared" si="1"/>
        <v>0.79</v>
      </c>
      <c r="P148" s="18">
        <v>44562</v>
      </c>
      <c r="Q148">
        <v>233.784233199</v>
      </c>
    </row>
    <row r="149" spans="9:17" x14ac:dyDescent="0.3">
      <c r="I149" s="18">
        <v>44652</v>
      </c>
      <c r="J149">
        <v>16</v>
      </c>
      <c r="K149">
        <v>3.28</v>
      </c>
      <c r="L149" s="31">
        <f t="shared" si="1"/>
        <v>2.57</v>
      </c>
      <c r="P149" s="18">
        <v>44593</v>
      </c>
      <c r="Q149">
        <v>235.44111083999999</v>
      </c>
    </row>
    <row r="150" spans="9:17" x14ac:dyDescent="0.3">
      <c r="I150" s="18">
        <v>44682</v>
      </c>
      <c r="J150">
        <v>16.309999999999999</v>
      </c>
      <c r="K150">
        <v>0.68</v>
      </c>
      <c r="L150" s="31">
        <f t="shared" si="1"/>
        <v>3.2566666666666664</v>
      </c>
      <c r="P150" s="18">
        <v>44621</v>
      </c>
      <c r="Q150">
        <v>248.09339656099999</v>
      </c>
    </row>
    <row r="151" spans="9:17" x14ac:dyDescent="0.3">
      <c r="I151" s="18">
        <v>44713</v>
      </c>
      <c r="J151">
        <v>14.88</v>
      </c>
      <c r="K151">
        <v>-0.68</v>
      </c>
      <c r="L151" s="31">
        <f t="shared" si="1"/>
        <v>3.17</v>
      </c>
      <c r="P151" s="18">
        <v>44652</v>
      </c>
      <c r="Q151">
        <v>255.633098878</v>
      </c>
    </row>
    <row r="152" spans="9:17" x14ac:dyDescent="0.3">
      <c r="I152" s="18">
        <v>44743</v>
      </c>
      <c r="J152">
        <v>13.75</v>
      </c>
      <c r="K152">
        <v>-0.77</v>
      </c>
      <c r="L152" s="31">
        <f t="shared" si="1"/>
        <v>1.0933333333333333</v>
      </c>
      <c r="P152" s="18">
        <v>44682</v>
      </c>
      <c r="Q152">
        <v>257.43242565600002</v>
      </c>
    </row>
    <row r="153" spans="9:17" x14ac:dyDescent="0.3">
      <c r="I153" s="18">
        <v>44774</v>
      </c>
      <c r="J153">
        <v>12.92</v>
      </c>
      <c r="K153">
        <v>-0.56999999999999995</v>
      </c>
      <c r="L153" s="31">
        <f t="shared" si="1"/>
        <v>-0.25666666666666665</v>
      </c>
      <c r="P153" s="18">
        <v>44713</v>
      </c>
      <c r="Q153">
        <v>256.661193336</v>
      </c>
    </row>
    <row r="154" spans="9:17" x14ac:dyDescent="0.3">
      <c r="I154" s="18">
        <v>44805</v>
      </c>
      <c r="J154">
        <v>12.46</v>
      </c>
      <c r="K154">
        <v>0.33</v>
      </c>
      <c r="L154" s="31">
        <f t="shared" si="1"/>
        <v>-0.67333333333333334</v>
      </c>
      <c r="P154" s="18">
        <v>44743</v>
      </c>
      <c r="Q154">
        <v>255.43330606999999</v>
      </c>
    </row>
    <row r="155" spans="9:17" x14ac:dyDescent="0.3">
      <c r="I155" s="18">
        <v>44835</v>
      </c>
      <c r="J155">
        <v>12.17</v>
      </c>
      <c r="K155">
        <v>0.66</v>
      </c>
      <c r="L155" s="31">
        <f t="shared" si="1"/>
        <v>-0.33666666666666661</v>
      </c>
      <c r="P155" s="18">
        <v>44774</v>
      </c>
      <c r="Q155">
        <v>255.38763268400001</v>
      </c>
    </row>
    <row r="156" spans="9:17" x14ac:dyDescent="0.3">
      <c r="I156" s="18">
        <v>44866</v>
      </c>
      <c r="J156">
        <v>11.51</v>
      </c>
      <c r="K156">
        <v>0.26</v>
      </c>
      <c r="L156" s="31">
        <f t="shared" si="1"/>
        <v>0.14000000000000004</v>
      </c>
      <c r="P156" s="18">
        <v>44805</v>
      </c>
      <c r="Q156">
        <v>256.304135976</v>
      </c>
    </row>
    <row r="157" spans="9:17" x14ac:dyDescent="0.3">
      <c r="I157" s="18">
        <v>44896</v>
      </c>
      <c r="J157">
        <v>11.9</v>
      </c>
      <c r="K157">
        <v>0.56999999999999995</v>
      </c>
      <c r="L157" s="31">
        <f t="shared" si="1"/>
        <v>0.41666666666666669</v>
      </c>
      <c r="P157" s="18">
        <v>44835</v>
      </c>
      <c r="Q157">
        <v>257.86848391699999</v>
      </c>
    </row>
    <row r="158" spans="9:17" x14ac:dyDescent="0.3">
      <c r="I158" s="18">
        <v>44927</v>
      </c>
      <c r="J158">
        <v>11.8</v>
      </c>
      <c r="K158">
        <v>1.1299999999999999</v>
      </c>
      <c r="L158" s="31">
        <f t="shared" si="1"/>
        <v>0.49666666666666665</v>
      </c>
      <c r="P158" s="18">
        <v>44866</v>
      </c>
      <c r="Q158">
        <v>258.26045045900003</v>
      </c>
    </row>
    <row r="159" spans="9:17" x14ac:dyDescent="0.3">
      <c r="I159" s="18">
        <v>44958</v>
      </c>
      <c r="J159">
        <v>11.59</v>
      </c>
      <c r="K159">
        <v>0.75</v>
      </c>
      <c r="L159" s="31">
        <f t="shared" si="1"/>
        <v>0.65333333333333332</v>
      </c>
      <c r="P159" s="18">
        <v>44896</v>
      </c>
      <c r="Q159">
        <v>259.23109683000001</v>
      </c>
    </row>
    <row r="160" spans="9:17" x14ac:dyDescent="0.3">
      <c r="I160" s="18">
        <v>44986</v>
      </c>
      <c r="J160">
        <v>6.14</v>
      </c>
      <c r="K160">
        <v>0.39</v>
      </c>
      <c r="L160" s="31">
        <f t="shared" si="1"/>
        <v>0.81666666666666654</v>
      </c>
      <c r="P160" s="18">
        <v>44927</v>
      </c>
      <c r="Q160">
        <v>261.36713881600002</v>
      </c>
    </row>
    <row r="161" spans="9:18" x14ac:dyDescent="0.3">
      <c r="I161" s="18">
        <v>45017</v>
      </c>
      <c r="J161">
        <v>3.51</v>
      </c>
      <c r="K161">
        <v>0.72</v>
      </c>
      <c r="L161" s="31">
        <f t="shared" si="1"/>
        <v>0.75666666666666671</v>
      </c>
      <c r="P161" s="18">
        <v>44958</v>
      </c>
      <c r="Q161">
        <v>262.72107387900002</v>
      </c>
    </row>
    <row r="162" spans="9:18" x14ac:dyDescent="0.3">
      <c r="I162" s="18">
        <v>45047</v>
      </c>
      <c r="J162">
        <v>2.5499999999999998</v>
      </c>
      <c r="K162">
        <v>-0.25</v>
      </c>
      <c r="L162" s="31">
        <f t="shared" si="1"/>
        <v>0.62</v>
      </c>
      <c r="P162" s="18">
        <v>44986</v>
      </c>
      <c r="Q162">
        <v>263.31268501699998</v>
      </c>
    </row>
    <row r="163" spans="9:18" x14ac:dyDescent="0.3">
      <c r="I163" s="18">
        <v>45078</v>
      </c>
      <c r="J163">
        <v>3.69</v>
      </c>
      <c r="K163">
        <v>0.43</v>
      </c>
      <c r="L163" s="31">
        <f t="shared" si="1"/>
        <v>0.28666666666666663</v>
      </c>
      <c r="P163" s="18">
        <v>45017</v>
      </c>
      <c r="Q163">
        <v>264.60201306900001</v>
      </c>
    </row>
    <row r="164" spans="9:18" x14ac:dyDescent="0.3">
      <c r="I164" s="18">
        <v>45108</v>
      </c>
      <c r="J164">
        <v>5.03</v>
      </c>
      <c r="K164">
        <v>0.5</v>
      </c>
      <c r="L164" s="31">
        <f t="shared" ref="L164:L178" si="2">AVERAGE(K161:K163)</f>
        <v>0.3</v>
      </c>
      <c r="P164" s="18">
        <v>45047</v>
      </c>
      <c r="Q164">
        <v>264.01187613399998</v>
      </c>
    </row>
    <row r="165" spans="9:18" x14ac:dyDescent="0.3">
      <c r="I165" s="18">
        <v>45139</v>
      </c>
      <c r="J165">
        <v>5.56</v>
      </c>
      <c r="K165">
        <v>-7.0000000000000007E-2</v>
      </c>
      <c r="L165" s="31">
        <f t="shared" si="2"/>
        <v>0.22666666666666666</v>
      </c>
      <c r="P165" s="18">
        <v>45078</v>
      </c>
      <c r="Q165">
        <v>266.16139384799999</v>
      </c>
    </row>
    <row r="166" spans="9:18" x14ac:dyDescent="0.3">
      <c r="I166" s="18">
        <v>45170</v>
      </c>
      <c r="J166">
        <v>7.05</v>
      </c>
      <c r="K166">
        <v>1.75</v>
      </c>
      <c r="L166" s="31">
        <f t="shared" si="2"/>
        <v>0.28666666666666663</v>
      </c>
      <c r="P166" s="18">
        <v>45108</v>
      </c>
      <c r="Q166">
        <v>268.25665116599998</v>
      </c>
    </row>
    <row r="167" spans="9:18" x14ac:dyDescent="0.3">
      <c r="I167" s="18">
        <v>45200</v>
      </c>
      <c r="J167">
        <v>6.84</v>
      </c>
      <c r="K167">
        <v>0.46</v>
      </c>
      <c r="L167" s="31">
        <f t="shared" si="2"/>
        <v>0.72666666666666668</v>
      </c>
      <c r="P167" s="18">
        <v>45139</v>
      </c>
      <c r="Q167">
        <v>269.55880814900001</v>
      </c>
    </row>
    <row r="168" spans="9:18" x14ac:dyDescent="0.3">
      <c r="I168" s="18">
        <v>45231</v>
      </c>
      <c r="J168">
        <v>7.34</v>
      </c>
      <c r="K168">
        <v>0.74</v>
      </c>
      <c r="L168" s="31">
        <f t="shared" si="2"/>
        <v>0.71333333333333337</v>
      </c>
      <c r="P168" s="18">
        <v>45170</v>
      </c>
      <c r="Q168">
        <v>274.347870151</v>
      </c>
    </row>
    <row r="169" spans="9:18" x14ac:dyDescent="0.3">
      <c r="I169" s="18">
        <v>45261</v>
      </c>
      <c r="J169">
        <v>7.05</v>
      </c>
      <c r="K169">
        <v>0.28999999999999998</v>
      </c>
      <c r="L169" s="31">
        <f t="shared" si="2"/>
        <v>0.98333333333333339</v>
      </c>
      <c r="P169" s="18">
        <v>45200</v>
      </c>
      <c r="Q169">
        <v>275.47071834299999</v>
      </c>
    </row>
    <row r="170" spans="9:18" x14ac:dyDescent="0.3">
      <c r="I170" s="18">
        <v>45292</v>
      </c>
      <c r="J170">
        <v>6.77</v>
      </c>
      <c r="K170">
        <v>0.87</v>
      </c>
      <c r="L170" s="31">
        <f t="shared" si="2"/>
        <v>0.49666666666666665</v>
      </c>
      <c r="P170" s="18">
        <v>45231</v>
      </c>
      <c r="Q170">
        <v>277.201644262</v>
      </c>
    </row>
    <row r="171" spans="9:18" x14ac:dyDescent="0.3">
      <c r="I171" s="18">
        <v>45323</v>
      </c>
      <c r="J171">
        <v>6.54</v>
      </c>
      <c r="K171">
        <v>0.53</v>
      </c>
      <c r="L171" s="31">
        <f t="shared" si="2"/>
        <v>0.6333333333333333</v>
      </c>
      <c r="P171" s="18">
        <v>45261</v>
      </c>
      <c r="Q171">
        <v>277.48275344299998</v>
      </c>
    </row>
    <row r="172" spans="9:18" x14ac:dyDescent="0.3">
      <c r="I172" s="18">
        <v>45352</v>
      </c>
      <c r="J172">
        <v>6.68</v>
      </c>
      <c r="K172">
        <v>0.53</v>
      </c>
      <c r="L172" s="31">
        <f t="shared" si="2"/>
        <v>0.56333333333333335</v>
      </c>
      <c r="P172" s="18">
        <v>45292</v>
      </c>
      <c r="Q172">
        <v>279.05269772600002</v>
      </c>
    </row>
    <row r="173" spans="9:18" x14ac:dyDescent="0.3">
      <c r="I173" s="18">
        <v>45383</v>
      </c>
      <c r="J173">
        <v>6.32</v>
      </c>
      <c r="K173">
        <v>0.38</v>
      </c>
      <c r="L173" s="31">
        <f t="shared" si="2"/>
        <v>0.64333333333333331</v>
      </c>
      <c r="P173" s="18">
        <v>45323</v>
      </c>
      <c r="Q173">
        <v>279.88252371900001</v>
      </c>
    </row>
    <row r="174" spans="9:18" x14ac:dyDescent="0.3">
      <c r="I174" s="18">
        <v>45413</v>
      </c>
      <c r="J174">
        <v>7.59</v>
      </c>
      <c r="K174">
        <v>0.94</v>
      </c>
      <c r="L174" s="31">
        <f t="shared" si="2"/>
        <v>0.48</v>
      </c>
      <c r="P174" s="18">
        <v>45352</v>
      </c>
      <c r="Q174">
        <v>280.90899590100003</v>
      </c>
    </row>
    <row r="175" spans="9:18" x14ac:dyDescent="0.3">
      <c r="I175" s="18">
        <v>45444</v>
      </c>
      <c r="J175">
        <v>7.33</v>
      </c>
      <c r="K175">
        <v>0.18</v>
      </c>
      <c r="L175" s="31">
        <f t="shared" si="2"/>
        <v>0.6166666666666667</v>
      </c>
      <c r="P175" s="18">
        <v>45383</v>
      </c>
      <c r="Q175">
        <v>281.34195059799998</v>
      </c>
      <c r="R175">
        <v>100.33</v>
      </c>
    </row>
    <row r="176" spans="9:18" x14ac:dyDescent="0.3">
      <c r="I176" s="18">
        <v>45474</v>
      </c>
      <c r="J176">
        <v>7.94</v>
      </c>
      <c r="K176">
        <v>1.07</v>
      </c>
      <c r="L176" s="31">
        <f t="shared" si="2"/>
        <v>0.49999999999999994</v>
      </c>
      <c r="P176" s="18">
        <v>45413</v>
      </c>
      <c r="Q176">
        <v>284.06794293799999</v>
      </c>
      <c r="R176">
        <v>100.33</v>
      </c>
    </row>
    <row r="177" spans="9:19" x14ac:dyDescent="0.3">
      <c r="I177" s="18">
        <v>45505</v>
      </c>
      <c r="J177">
        <v>8.1</v>
      </c>
      <c r="K177">
        <v>0.09</v>
      </c>
      <c r="L177" s="31">
        <f t="shared" si="2"/>
        <v>0.73</v>
      </c>
      <c r="P177" s="18">
        <v>45444</v>
      </c>
      <c r="Q177">
        <v>285.66733573800002</v>
      </c>
      <c r="R177">
        <v>100.33</v>
      </c>
    </row>
    <row r="178" spans="9:19" x14ac:dyDescent="0.3">
      <c r="I178" s="18">
        <v>45536</v>
      </c>
      <c r="J178">
        <v>6.91</v>
      </c>
      <c r="K178">
        <v>0.62</v>
      </c>
      <c r="L178" s="31">
        <f t="shared" si="2"/>
        <v>0.44666666666666671</v>
      </c>
      <c r="P178" s="18">
        <v>45474</v>
      </c>
      <c r="Q178">
        <v>289.52965158900003</v>
      </c>
      <c r="R178">
        <v>100.33</v>
      </c>
    </row>
    <row r="179" spans="9:19" x14ac:dyDescent="0.3">
      <c r="I179" s="18">
        <v>45566</v>
      </c>
      <c r="J179">
        <v>7.49</v>
      </c>
      <c r="K179">
        <v>1.02</v>
      </c>
      <c r="L179" s="31">
        <f t="shared" ref="L179:L185" si="3">AVERAGE(K176:K178)</f>
        <v>0.59333333333333338</v>
      </c>
      <c r="P179" s="18">
        <v>45505</v>
      </c>
      <c r="Q179">
        <v>291.40250344600003</v>
      </c>
      <c r="R179">
        <v>100.33</v>
      </c>
    </row>
    <row r="180" spans="9:19" x14ac:dyDescent="0.3">
      <c r="I180" s="18">
        <v>45597</v>
      </c>
      <c r="J180">
        <v>8.31</v>
      </c>
      <c r="K180">
        <v>1.5</v>
      </c>
      <c r="L180" s="31">
        <f t="shared" si="3"/>
        <v>0.57666666666666666</v>
      </c>
      <c r="P180" s="18">
        <v>45536</v>
      </c>
      <c r="Q180">
        <v>293.29251686499998</v>
      </c>
      <c r="R180">
        <v>100.33</v>
      </c>
    </row>
    <row r="181" spans="9:19" x14ac:dyDescent="0.3">
      <c r="I181" s="18">
        <v>45627</v>
      </c>
      <c r="J181">
        <v>8.98</v>
      </c>
      <c r="K181">
        <v>0.91</v>
      </c>
      <c r="L181" s="31">
        <f t="shared" si="3"/>
        <v>1.0466666666666666</v>
      </c>
      <c r="P181" s="18">
        <v>45566</v>
      </c>
      <c r="Q181">
        <v>296.13196767800002</v>
      </c>
      <c r="R181">
        <v>100.33</v>
      </c>
    </row>
    <row r="182" spans="9:19" x14ac:dyDescent="0.3">
      <c r="I182" s="18">
        <v>45658</v>
      </c>
      <c r="J182">
        <v>8.9499999999999993</v>
      </c>
      <c r="K182">
        <v>0.84</v>
      </c>
      <c r="L182" s="31">
        <f t="shared" si="3"/>
        <v>1.1433333333333333</v>
      </c>
      <c r="P182" s="18">
        <v>45597</v>
      </c>
      <c r="Q182">
        <v>300.23151899999999</v>
      </c>
      <c r="R182">
        <v>100.33</v>
      </c>
    </row>
    <row r="183" spans="9:19" x14ac:dyDescent="0.3">
      <c r="I183" s="18">
        <v>45689</v>
      </c>
      <c r="J183">
        <v>9.83</v>
      </c>
      <c r="K183">
        <v>1.34</v>
      </c>
      <c r="L183" s="31">
        <f t="shared" si="3"/>
        <v>1.0833333333333333</v>
      </c>
      <c r="P183" s="18">
        <v>45627</v>
      </c>
      <c r="Q183">
        <v>302.40279990599998</v>
      </c>
      <c r="R183">
        <v>100.33</v>
      </c>
    </row>
    <row r="184" spans="9:19" x14ac:dyDescent="0.3">
      <c r="I184" s="18">
        <v>45717</v>
      </c>
      <c r="K184">
        <v>0.8</v>
      </c>
      <c r="L184" s="31">
        <f t="shared" si="3"/>
        <v>1.03</v>
      </c>
      <c r="P184" s="18">
        <v>45658</v>
      </c>
      <c r="Q184">
        <v>304.02493059</v>
      </c>
      <c r="R184">
        <v>100.33</v>
      </c>
    </row>
    <row r="185" spans="9:19" x14ac:dyDescent="0.3">
      <c r="I185" s="18">
        <v>45748</v>
      </c>
      <c r="L185" s="31">
        <f t="shared" si="3"/>
        <v>0.99333333333333351</v>
      </c>
      <c r="P185" s="18">
        <v>45689</v>
      </c>
      <c r="Q185">
        <v>307.37945269300002</v>
      </c>
      <c r="R185">
        <v>100.33</v>
      </c>
    </row>
    <row r="186" spans="9:19" x14ac:dyDescent="0.3">
      <c r="P186" s="18">
        <v>45717</v>
      </c>
      <c r="Q186">
        <v>309.33484063899999</v>
      </c>
      <c r="R186">
        <v>100.33</v>
      </c>
      <c r="S186" s="8">
        <f t="shared" ref="S186" si="4">ROUND(PRODUCT(R175:R186)/100^11,2)</f>
        <v>104.03</v>
      </c>
    </row>
    <row r="187" spans="9:19" x14ac:dyDescent="0.3">
      <c r="P187" s="18">
        <v>45748</v>
      </c>
      <c r="Q187">
        <v>310.03246880900002</v>
      </c>
    </row>
    <row r="188" spans="9:19" x14ac:dyDescent="0.3">
      <c r="P188" s="18">
        <v>45778</v>
      </c>
      <c r="Q188">
        <v>310.74603674999997</v>
      </c>
    </row>
    <row r="189" spans="9:19" x14ac:dyDescent="0.3">
      <c r="P189" s="18">
        <v>45809</v>
      </c>
      <c r="Q189">
        <v>312.21431064500001</v>
      </c>
    </row>
    <row r="190" spans="9:19" x14ac:dyDescent="0.3">
      <c r="P190" s="18">
        <v>45839</v>
      </c>
      <c r="Q190">
        <v>316.20553758400001</v>
      </c>
    </row>
    <row r="191" spans="9:19" x14ac:dyDescent="0.3">
      <c r="P191" s="18">
        <v>45870</v>
      </c>
      <c r="Q191">
        <v>317.74171783399999</v>
      </c>
    </row>
    <row r="192" spans="9:19" x14ac:dyDescent="0.3">
      <c r="P192" s="18">
        <v>45901</v>
      </c>
      <c r="Q192">
        <v>318.47615646399998</v>
      </c>
    </row>
    <row r="193" spans="16:17" x14ac:dyDescent="0.3">
      <c r="P193" s="18">
        <v>45931</v>
      </c>
      <c r="Q193">
        <v>319.83990108299997</v>
      </c>
    </row>
    <row r="194" spans="16:17" x14ac:dyDescent="0.3">
      <c r="P194" s="18">
        <v>45962</v>
      </c>
      <c r="Q194">
        <v>320.59280839299998</v>
      </c>
    </row>
    <row r="195" spans="16:17" x14ac:dyDescent="0.3">
      <c r="P195" s="18">
        <v>45992</v>
      </c>
      <c r="Q195">
        <v>320.96636183599998</v>
      </c>
    </row>
    <row r="196" spans="16:17" x14ac:dyDescent="0.3">
      <c r="P196" s="18">
        <v>46023</v>
      </c>
      <c r="Q196">
        <v>322.08255126799997</v>
      </c>
    </row>
    <row r="197" spans="16:17" x14ac:dyDescent="0.3">
      <c r="P197" s="18">
        <v>46054</v>
      </c>
      <c r="Q197">
        <v>323.11095209500002</v>
      </c>
    </row>
    <row r="198" spans="16:17" x14ac:dyDescent="0.3">
      <c r="P198" s="18">
        <v>46082</v>
      </c>
      <c r="Q198">
        <v>324.14852835800002</v>
      </c>
    </row>
    <row r="199" spans="16:17" x14ac:dyDescent="0.3">
      <c r="P199" s="18">
        <v>46113</v>
      </c>
      <c r="Q199">
        <v>325.65733162499998</v>
      </c>
    </row>
    <row r="200" spans="16:17" x14ac:dyDescent="0.3">
      <c r="P200" s="18">
        <v>46143</v>
      </c>
      <c r="Q200">
        <v>326.66736334900003</v>
      </c>
    </row>
    <row r="201" spans="16:17" x14ac:dyDescent="0.3">
      <c r="P201" s="18">
        <v>46174</v>
      </c>
      <c r="Q201">
        <v>328.131161652</v>
      </c>
    </row>
    <row r="202" spans="16:17" x14ac:dyDescent="0.3">
      <c r="P202" s="18">
        <v>46204</v>
      </c>
      <c r="Q202">
        <v>328.57962532699997</v>
      </c>
    </row>
    <row r="203" spans="16:17" x14ac:dyDescent="0.3">
      <c r="P203" s="18">
        <v>46235</v>
      </c>
      <c r="Q203">
        <v>329.79392801799997</v>
      </c>
    </row>
    <row r="204" spans="16:17" x14ac:dyDescent="0.3">
      <c r="P204" s="18">
        <v>46266</v>
      </c>
      <c r="Q204">
        <v>330.13705753800002</v>
      </c>
    </row>
    <row r="205" spans="16:17" x14ac:dyDescent="0.3">
      <c r="P205" s="18">
        <v>46296</v>
      </c>
      <c r="Q205">
        <v>331.42006555099999</v>
      </c>
    </row>
    <row r="206" spans="16:17" x14ac:dyDescent="0.3">
      <c r="P206" s="18">
        <v>46327</v>
      </c>
      <c r="Q206">
        <v>333.01538321599998</v>
      </c>
    </row>
    <row r="207" spans="16:17" x14ac:dyDescent="0.3">
      <c r="P207" s="18">
        <v>46357</v>
      </c>
      <c r="Q207">
        <v>333.92206480800002</v>
      </c>
    </row>
    <row r="208" spans="16:17" x14ac:dyDescent="0.3">
      <c r="P208" s="18">
        <v>46388</v>
      </c>
      <c r="Q208">
        <v>335.51144284399999</v>
      </c>
    </row>
    <row r="209" spans="16:17" x14ac:dyDescent="0.3">
      <c r="P209" s="18">
        <v>46419</v>
      </c>
      <c r="Q209">
        <v>337.307024985</v>
      </c>
    </row>
    <row r="210" spans="16:17" x14ac:dyDescent="0.3">
      <c r="P210" s="18">
        <v>46447</v>
      </c>
      <c r="Q210">
        <v>339.11221668000002</v>
      </c>
    </row>
    <row r="211" spans="16:17" x14ac:dyDescent="0.3">
      <c r="P211" s="18">
        <v>46478</v>
      </c>
      <c r="Q211">
        <v>340.92706935899997</v>
      </c>
    </row>
    <row r="212" spans="16:17" x14ac:dyDescent="0.3">
      <c r="P212" s="18">
        <v>46508</v>
      </c>
      <c r="Q212">
        <v>342.751634723</v>
      </c>
    </row>
    <row r="213" spans="16:17" x14ac:dyDescent="0.3">
      <c r="P213" s="18">
        <v>46539</v>
      </c>
      <c r="Q213">
        <v>344.58596475299998</v>
      </c>
    </row>
    <row r="214" spans="16:17" x14ac:dyDescent="0.3">
      <c r="P214" s="18">
        <v>46569</v>
      </c>
      <c r="Q214">
        <v>346.43011170699998</v>
      </c>
    </row>
    <row r="215" spans="16:17" x14ac:dyDescent="0.3">
      <c r="P215" s="18">
        <v>46600</v>
      </c>
      <c r="Q215">
        <v>348.28412812200003</v>
      </c>
    </row>
    <row r="216" spans="16:17" x14ac:dyDescent="0.3">
      <c r="P216" s="18">
        <v>46631</v>
      </c>
      <c r="Q216">
        <v>350.14806681900001</v>
      </c>
    </row>
    <row r="217" spans="16:17" x14ac:dyDescent="0.3">
      <c r="P217" s="18">
        <v>46661</v>
      </c>
      <c r="Q217">
        <v>352.02198089799998</v>
      </c>
    </row>
    <row r="218" spans="16:17" x14ac:dyDescent="0.3">
      <c r="P218" s="18">
        <v>46692</v>
      </c>
      <c r="Q218">
        <v>353.90592374699997</v>
      </c>
    </row>
    <row r="219" spans="16:17" x14ac:dyDescent="0.3">
      <c r="P219" s="18">
        <v>46722</v>
      </c>
      <c r="Q219">
        <v>355.799949035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9"/>
  <sheetViews>
    <sheetView zoomScale="85" zoomScaleNormal="85" workbookViewId="0">
      <pane ySplit="1" topLeftCell="A168" activePane="bottomLeft" state="frozen"/>
      <selection pane="bottomLeft" activeCell="E233" sqref="E233"/>
    </sheetView>
  </sheetViews>
  <sheetFormatPr defaultRowHeight="14.4" x14ac:dyDescent="0.3"/>
  <cols>
    <col min="1" max="1" width="10.09765625" bestFit="1" customWidth="1"/>
    <col min="2" max="2" width="9.09765625" style="1"/>
    <col min="4" max="4" width="9.09765625" customWidth="1"/>
    <col min="5" max="5" width="11.69921875" bestFit="1" customWidth="1"/>
    <col min="6" max="29" width="10.69921875" bestFit="1" customWidth="1"/>
  </cols>
  <sheetData>
    <row r="1" spans="1:7" x14ac:dyDescent="0.3">
      <c r="A1" s="20" t="s">
        <v>16</v>
      </c>
      <c r="B1" s="1" t="s">
        <v>17</v>
      </c>
    </row>
    <row r="2" spans="1:7" x14ac:dyDescent="0.3">
      <c r="A2" s="18">
        <v>40148</v>
      </c>
      <c r="B2" s="1">
        <v>100</v>
      </c>
    </row>
    <row r="3" spans="1:7" x14ac:dyDescent="0.3">
      <c r="A3" s="18">
        <v>40179</v>
      </c>
      <c r="B3" s="21">
        <v>101.49</v>
      </c>
      <c r="F3" s="18">
        <v>40148</v>
      </c>
      <c r="G3">
        <v>100.243891046</v>
      </c>
    </row>
    <row r="4" spans="1:7" x14ac:dyDescent="0.3">
      <c r="A4" s="18">
        <v>40210</v>
      </c>
      <c r="B4" s="21">
        <v>102.70788</v>
      </c>
      <c r="F4" s="18">
        <v>40179</v>
      </c>
      <c r="G4">
        <v>101.420712306</v>
      </c>
    </row>
    <row r="5" spans="1:7" x14ac:dyDescent="0.3">
      <c r="A5" s="18">
        <v>40238</v>
      </c>
      <c r="B5" s="21">
        <v>103.652792496</v>
      </c>
      <c r="F5" s="18">
        <v>40210</v>
      </c>
      <c r="G5">
        <v>102.410136588</v>
      </c>
    </row>
    <row r="6" spans="1:7" x14ac:dyDescent="0.3">
      <c r="A6" s="18">
        <v>40269</v>
      </c>
      <c r="B6" s="21">
        <v>104.26434397172642</v>
      </c>
      <c r="F6" s="18">
        <v>40238</v>
      </c>
      <c r="G6">
        <v>103.177395672</v>
      </c>
    </row>
    <row r="7" spans="1:7" x14ac:dyDescent="0.3">
      <c r="A7" s="18">
        <v>40299</v>
      </c>
      <c r="B7" s="21">
        <v>104.93163577314546</v>
      </c>
      <c r="F7" s="18">
        <v>40269</v>
      </c>
      <c r="G7">
        <v>103.564847157</v>
      </c>
    </row>
    <row r="8" spans="1:7" x14ac:dyDescent="0.3">
      <c r="A8" s="18">
        <v>40330</v>
      </c>
      <c r="B8" s="21">
        <v>105.69763671428942</v>
      </c>
      <c r="F8" s="18">
        <v>40299</v>
      </c>
      <c r="G8">
        <v>104.22609741799999</v>
      </c>
    </row>
    <row r="9" spans="1:7" x14ac:dyDescent="0.3">
      <c r="A9" s="18">
        <v>40360</v>
      </c>
      <c r="B9" s="21">
        <v>105.1797182943894</v>
      </c>
      <c r="F9" s="18">
        <v>40330</v>
      </c>
      <c r="G9">
        <v>105.398960113</v>
      </c>
    </row>
    <row r="10" spans="1:7" x14ac:dyDescent="0.3">
      <c r="A10" s="18">
        <v>40391</v>
      </c>
      <c r="B10" s="21">
        <v>105.68458094220249</v>
      </c>
      <c r="F10" s="18">
        <v>40360</v>
      </c>
      <c r="G10">
        <v>105.220995347</v>
      </c>
    </row>
    <row r="11" spans="1:7" x14ac:dyDescent="0.3">
      <c r="A11" s="18">
        <v>40422</v>
      </c>
      <c r="B11" s="21">
        <v>108.10475784577893</v>
      </c>
      <c r="F11" s="18">
        <v>40391</v>
      </c>
      <c r="G11">
        <v>106.29370065000001</v>
      </c>
    </row>
    <row r="12" spans="1:7" x14ac:dyDescent="0.3">
      <c r="A12" s="18">
        <v>40452</v>
      </c>
      <c r="B12" s="21">
        <v>108.64528163500783</v>
      </c>
      <c r="F12" s="18">
        <v>40422</v>
      </c>
      <c r="G12">
        <v>108.73083968</v>
      </c>
    </row>
    <row r="13" spans="1:7" x14ac:dyDescent="0.3">
      <c r="A13" s="18">
        <v>40483</v>
      </c>
      <c r="B13" s="21">
        <v>109.64481822604991</v>
      </c>
      <c r="F13" s="18">
        <v>40452</v>
      </c>
      <c r="G13">
        <v>109.24823694600001</v>
      </c>
    </row>
    <row r="14" spans="1:7" x14ac:dyDescent="0.3">
      <c r="A14" s="18">
        <v>40513</v>
      </c>
      <c r="B14" s="21">
        <v>111.36624187219888</v>
      </c>
      <c r="F14" s="18">
        <v>40483</v>
      </c>
      <c r="G14">
        <v>110.16692726399999</v>
      </c>
    </row>
    <row r="15" spans="1:7" x14ac:dyDescent="0.3">
      <c r="A15" s="18">
        <v>40544</v>
      </c>
      <c r="B15" s="21">
        <v>114.03903167713166</v>
      </c>
      <c r="F15" s="18">
        <v>40513</v>
      </c>
      <c r="G15">
        <v>111.63718281600001</v>
      </c>
    </row>
    <row r="16" spans="1:7" x14ac:dyDescent="0.3">
      <c r="A16" s="18">
        <v>40575</v>
      </c>
      <c r="B16" s="21">
        <v>115.24784541290927</v>
      </c>
      <c r="F16" s="18">
        <v>40544</v>
      </c>
      <c r="G16">
        <v>113.962491699</v>
      </c>
    </row>
    <row r="17" spans="1:7" x14ac:dyDescent="0.3">
      <c r="A17" s="18">
        <v>40603</v>
      </c>
      <c r="B17" s="21">
        <v>116.53862128153385</v>
      </c>
      <c r="F17" s="18">
        <v>40575</v>
      </c>
      <c r="G17">
        <v>114.91562173200001</v>
      </c>
    </row>
    <row r="18" spans="1:7" x14ac:dyDescent="0.3">
      <c r="A18" s="18">
        <v>40634</v>
      </c>
      <c r="B18" s="21">
        <v>117.23785300922306</v>
      </c>
      <c r="F18" s="18">
        <v>40603</v>
      </c>
      <c r="G18">
        <v>116.005999082</v>
      </c>
    </row>
    <row r="19" spans="1:7" x14ac:dyDescent="0.3">
      <c r="A19" s="18">
        <v>40664</v>
      </c>
      <c r="B19" s="21">
        <v>117.60129035355165</v>
      </c>
      <c r="F19" s="18">
        <v>40634</v>
      </c>
      <c r="G19">
        <v>116.45150882199999</v>
      </c>
    </row>
    <row r="20" spans="1:7" x14ac:dyDescent="0.3">
      <c r="A20" s="18">
        <v>40695</v>
      </c>
      <c r="B20" s="21">
        <v>116.88392248239499</v>
      </c>
      <c r="F20" s="18">
        <v>40664</v>
      </c>
      <c r="G20">
        <v>116.809975275</v>
      </c>
    </row>
    <row r="21" spans="1:7" x14ac:dyDescent="0.3">
      <c r="A21" s="18">
        <v>40725</v>
      </c>
      <c r="B21" s="21">
        <v>116.83716891340202</v>
      </c>
      <c r="F21" s="18">
        <v>40695</v>
      </c>
      <c r="G21">
        <v>116.55310863699999</v>
      </c>
    </row>
    <row r="22" spans="1:7" x14ac:dyDescent="0.3">
      <c r="A22" s="18">
        <v>40756</v>
      </c>
      <c r="B22" s="21">
        <v>116.62686200935791</v>
      </c>
      <c r="F22" s="18">
        <v>40725</v>
      </c>
      <c r="G22">
        <v>116.878989305</v>
      </c>
    </row>
    <row r="23" spans="1:7" x14ac:dyDescent="0.3">
      <c r="A23" s="18">
        <v>40787</v>
      </c>
      <c r="B23" s="21">
        <v>117.5365515330309</v>
      </c>
      <c r="F23" s="18">
        <v>40756</v>
      </c>
      <c r="G23">
        <v>117.295005707</v>
      </c>
    </row>
    <row r="24" spans="1:7" x14ac:dyDescent="0.3">
      <c r="A24" s="18">
        <v>40817</v>
      </c>
      <c r="B24" s="21">
        <v>117.92442215308991</v>
      </c>
      <c r="F24" s="18">
        <v>40787</v>
      </c>
      <c r="G24">
        <v>118.217327016</v>
      </c>
    </row>
    <row r="25" spans="1:7" x14ac:dyDescent="0.3">
      <c r="A25" s="18">
        <v>40848</v>
      </c>
      <c r="B25" s="21">
        <v>118.46687449499412</v>
      </c>
      <c r="F25" s="18">
        <v>40817</v>
      </c>
      <c r="G25">
        <v>118.57721885700001</v>
      </c>
    </row>
    <row r="26" spans="1:7" x14ac:dyDescent="0.3">
      <c r="A26" s="18">
        <v>40878</v>
      </c>
      <c r="B26" s="21">
        <v>118.84596849337809</v>
      </c>
      <c r="F26" s="18">
        <v>40848</v>
      </c>
      <c r="G26">
        <v>119.028609131</v>
      </c>
    </row>
    <row r="27" spans="1:7" x14ac:dyDescent="0.3">
      <c r="A27" s="18">
        <v>40909</v>
      </c>
      <c r="B27" s="21">
        <v>119.23816018940624</v>
      </c>
      <c r="F27" s="18">
        <v>40878</v>
      </c>
      <c r="G27">
        <v>119.134118469</v>
      </c>
    </row>
    <row r="28" spans="1:7" x14ac:dyDescent="0.3">
      <c r="A28" s="18">
        <v>40940</v>
      </c>
      <c r="B28" s="21">
        <v>120.45438942333818</v>
      </c>
      <c r="F28" s="18">
        <v>40909</v>
      </c>
      <c r="G28">
        <v>119.16243207300001</v>
      </c>
    </row>
    <row r="29" spans="1:7" x14ac:dyDescent="0.3">
      <c r="A29" s="18">
        <v>40969</v>
      </c>
      <c r="B29" s="21">
        <v>121.27347927141689</v>
      </c>
      <c r="F29" s="18">
        <v>40940</v>
      </c>
      <c r="G29">
        <v>120.11279910899999</v>
      </c>
    </row>
    <row r="30" spans="1:7" x14ac:dyDescent="0.3">
      <c r="A30" s="18">
        <v>41000</v>
      </c>
      <c r="B30" s="21">
        <v>121.78282788435685</v>
      </c>
      <c r="F30" s="18">
        <v>40969</v>
      </c>
      <c r="G30">
        <v>120.725281427</v>
      </c>
    </row>
    <row r="31" spans="1:7" x14ac:dyDescent="0.3">
      <c r="A31" s="18">
        <v>41030</v>
      </c>
      <c r="B31" s="21">
        <v>123.39036121243035</v>
      </c>
      <c r="F31" s="18">
        <v>41000</v>
      </c>
      <c r="G31">
        <v>120.969106125</v>
      </c>
    </row>
    <row r="32" spans="1:7" x14ac:dyDescent="0.3">
      <c r="A32" s="18">
        <v>41061</v>
      </c>
      <c r="B32" s="21">
        <v>124.06900819909872</v>
      </c>
      <c r="F32" s="18">
        <v>41030</v>
      </c>
      <c r="G32">
        <v>122.561627257</v>
      </c>
    </row>
    <row r="33" spans="1:7" x14ac:dyDescent="0.3">
      <c r="A33" s="18">
        <v>41091</v>
      </c>
      <c r="B33" s="21">
        <v>126.06651923110421</v>
      </c>
      <c r="F33" s="18">
        <v>41061</v>
      </c>
      <c r="G33">
        <v>123.717458166</v>
      </c>
    </row>
    <row r="34" spans="1:7" x14ac:dyDescent="0.3">
      <c r="A34" s="18">
        <v>41122</v>
      </c>
      <c r="B34" s="21">
        <v>126.1673724464891</v>
      </c>
      <c r="F34" s="18">
        <v>41091</v>
      </c>
      <c r="G34">
        <v>126.106639663</v>
      </c>
    </row>
    <row r="35" spans="1:7" x14ac:dyDescent="0.3">
      <c r="A35" s="18">
        <v>41153</v>
      </c>
      <c r="B35" s="21">
        <v>126.69727541076436</v>
      </c>
      <c r="F35" s="18">
        <v>41122</v>
      </c>
      <c r="G35">
        <v>126.884724087</v>
      </c>
    </row>
    <row r="36" spans="1:7" x14ac:dyDescent="0.3">
      <c r="A36" s="18">
        <v>41183</v>
      </c>
      <c r="B36" s="21">
        <v>127.28008287765388</v>
      </c>
      <c r="F36" s="18">
        <v>41153</v>
      </c>
      <c r="G36">
        <v>127.431704885</v>
      </c>
    </row>
    <row r="37" spans="1:7" x14ac:dyDescent="0.3">
      <c r="A37" s="18">
        <v>41214</v>
      </c>
      <c r="B37" s="21">
        <v>128.17104345779745</v>
      </c>
      <c r="F37" s="18">
        <v>41183</v>
      </c>
      <c r="G37">
        <v>127.982547989</v>
      </c>
    </row>
    <row r="38" spans="1:7" x14ac:dyDescent="0.3">
      <c r="A38" s="18">
        <v>41244</v>
      </c>
      <c r="B38" s="21">
        <v>129.24768022284294</v>
      </c>
      <c r="F38" s="18">
        <v>41214</v>
      </c>
      <c r="G38">
        <v>128.77560027300001</v>
      </c>
    </row>
    <row r="39" spans="1:7" x14ac:dyDescent="0.3">
      <c r="A39" s="18">
        <v>41275</v>
      </c>
      <c r="B39" s="21">
        <v>130.20411305649196</v>
      </c>
      <c r="F39" s="18">
        <v>41244</v>
      </c>
      <c r="G39">
        <v>129.558198788</v>
      </c>
    </row>
    <row r="40" spans="1:7" x14ac:dyDescent="0.3">
      <c r="A40" s="18">
        <v>41306</v>
      </c>
      <c r="B40" s="21">
        <v>130.86815403308009</v>
      </c>
      <c r="F40" s="18">
        <v>41275</v>
      </c>
      <c r="G40">
        <v>130.123623444</v>
      </c>
    </row>
    <row r="41" spans="1:7" x14ac:dyDescent="0.3">
      <c r="A41" s="18">
        <v>41334</v>
      </c>
      <c r="B41" s="21">
        <v>131.52249480324548</v>
      </c>
      <c r="F41" s="18">
        <v>41306</v>
      </c>
      <c r="G41">
        <v>130.50104938000001</v>
      </c>
    </row>
    <row r="42" spans="1:7" x14ac:dyDescent="0.3">
      <c r="A42" s="18">
        <v>41365</v>
      </c>
      <c r="B42" s="21">
        <v>133.16652598828605</v>
      </c>
      <c r="F42" s="18">
        <v>41334</v>
      </c>
      <c r="G42">
        <v>130.93228499</v>
      </c>
    </row>
    <row r="43" spans="1:7" x14ac:dyDescent="0.3">
      <c r="A43" s="18">
        <v>41395</v>
      </c>
      <c r="B43" s="21">
        <v>135.08412396251737</v>
      </c>
      <c r="F43" s="18">
        <v>41365</v>
      </c>
      <c r="G43">
        <v>132.276840865</v>
      </c>
    </row>
    <row r="44" spans="1:7" x14ac:dyDescent="0.3">
      <c r="A44" s="18">
        <v>41426</v>
      </c>
      <c r="B44" s="21">
        <v>135.20569967408363</v>
      </c>
      <c r="F44" s="18">
        <v>41395</v>
      </c>
      <c r="G44">
        <v>134.17747847999999</v>
      </c>
    </row>
    <row r="45" spans="1:7" x14ac:dyDescent="0.3">
      <c r="A45" s="18">
        <v>41456</v>
      </c>
      <c r="B45" s="21">
        <v>135.98989273219331</v>
      </c>
      <c r="F45" s="18">
        <v>41426</v>
      </c>
      <c r="G45">
        <v>134.82184886499999</v>
      </c>
    </row>
    <row r="46" spans="1:7" x14ac:dyDescent="0.3">
      <c r="A46" s="18">
        <v>41487</v>
      </c>
      <c r="B46" s="21">
        <v>135.47313113981099</v>
      </c>
      <c r="F46" s="18">
        <v>41456</v>
      </c>
      <c r="G46">
        <v>136.03137622700001</v>
      </c>
    </row>
    <row r="47" spans="1:7" x14ac:dyDescent="0.3">
      <c r="A47" s="18">
        <v>41518</v>
      </c>
      <c r="B47" s="21">
        <v>135.70343546274867</v>
      </c>
      <c r="F47" s="18">
        <v>41487</v>
      </c>
      <c r="G47">
        <v>136.24080162499999</v>
      </c>
    </row>
    <row r="48" spans="1:7" x14ac:dyDescent="0.3">
      <c r="A48" s="18">
        <v>41548</v>
      </c>
      <c r="B48" s="21">
        <v>137.10118084801499</v>
      </c>
      <c r="F48" s="18">
        <v>41518</v>
      </c>
      <c r="G48">
        <v>136.492918632</v>
      </c>
    </row>
    <row r="49" spans="1:7" x14ac:dyDescent="0.3">
      <c r="A49" s="18">
        <v>41579</v>
      </c>
      <c r="B49" s="21">
        <v>137.96491828735748</v>
      </c>
      <c r="F49" s="18">
        <v>41548</v>
      </c>
      <c r="G49">
        <v>137.857033126</v>
      </c>
    </row>
    <row r="50" spans="1:7" x14ac:dyDescent="0.3">
      <c r="A50" s="18">
        <v>41609</v>
      </c>
      <c r="B50" s="21">
        <v>138.93067271536898</v>
      </c>
      <c r="F50" s="18">
        <v>41579</v>
      </c>
      <c r="G50">
        <v>138.61326898300001</v>
      </c>
    </row>
    <row r="51" spans="1:7" x14ac:dyDescent="0.3">
      <c r="A51" s="18">
        <v>41640</v>
      </c>
      <c r="B51" s="21">
        <v>139.15296179171358</v>
      </c>
      <c r="F51" s="18">
        <v>41609</v>
      </c>
      <c r="G51">
        <v>139.261985512</v>
      </c>
    </row>
    <row r="52" spans="1:7" x14ac:dyDescent="0.3">
      <c r="A52" s="18">
        <v>41671</v>
      </c>
      <c r="B52" s="21">
        <v>140.01571015482222</v>
      </c>
      <c r="F52" s="18">
        <v>41640</v>
      </c>
      <c r="G52">
        <v>139.068289932</v>
      </c>
    </row>
    <row r="53" spans="1:7" x14ac:dyDescent="0.3">
      <c r="A53" s="18">
        <v>41699</v>
      </c>
      <c r="B53" s="21">
        <v>141.3598609723085</v>
      </c>
      <c r="F53" s="18">
        <v>41671</v>
      </c>
      <c r="G53">
        <v>139.625057252</v>
      </c>
    </row>
    <row r="54" spans="1:7" x14ac:dyDescent="0.3">
      <c r="A54" s="18">
        <v>41730</v>
      </c>
      <c r="B54" s="21">
        <v>142.25042809643404</v>
      </c>
      <c r="F54" s="18">
        <v>41699</v>
      </c>
      <c r="G54">
        <v>140.72707540900001</v>
      </c>
    </row>
    <row r="55" spans="1:7" x14ac:dyDescent="0.3">
      <c r="A55" s="18">
        <v>41760</v>
      </c>
      <c r="B55" s="21">
        <v>143.17505587906086</v>
      </c>
      <c r="F55" s="18">
        <v>41730</v>
      </c>
      <c r="G55">
        <v>141.29796005399999</v>
      </c>
    </row>
    <row r="56" spans="1:7" x14ac:dyDescent="0.3">
      <c r="A56" s="18">
        <v>41791</v>
      </c>
      <c r="B56" s="21">
        <v>143.18937338464877</v>
      </c>
      <c r="F56" s="18">
        <v>41760</v>
      </c>
      <c r="G56">
        <v>142.215804701</v>
      </c>
    </row>
    <row r="57" spans="1:7" x14ac:dyDescent="0.3">
      <c r="A57" s="18">
        <v>41821</v>
      </c>
      <c r="B57" s="21">
        <v>143.16073550997186</v>
      </c>
      <c r="F57" s="18">
        <v>41791</v>
      </c>
      <c r="G57">
        <v>142.782912165</v>
      </c>
    </row>
    <row r="58" spans="1:7" x14ac:dyDescent="0.3">
      <c r="A58" s="18">
        <v>41852</v>
      </c>
      <c r="B58" s="21">
        <v>143.76201059911375</v>
      </c>
      <c r="F58" s="18">
        <v>41821</v>
      </c>
      <c r="G58">
        <v>143.204830203</v>
      </c>
    </row>
    <row r="59" spans="1:7" x14ac:dyDescent="0.3">
      <c r="A59" s="18">
        <v>41883</v>
      </c>
      <c r="B59" s="21">
        <v>145.51590712842292</v>
      </c>
      <c r="F59" s="18">
        <v>41852</v>
      </c>
      <c r="G59">
        <v>144.574928202</v>
      </c>
    </row>
    <row r="60" spans="1:7" x14ac:dyDescent="0.3">
      <c r="A60" s="18">
        <v>41913</v>
      </c>
      <c r="B60" s="21">
        <v>146.38900257119346</v>
      </c>
      <c r="F60" s="18">
        <v>41883</v>
      </c>
      <c r="G60">
        <v>146.36576172700001</v>
      </c>
    </row>
    <row r="61" spans="1:7" x14ac:dyDescent="0.3">
      <c r="A61" s="18">
        <v>41944</v>
      </c>
      <c r="B61" s="21">
        <v>147.82361479639115</v>
      </c>
      <c r="F61" s="18">
        <v>41913</v>
      </c>
      <c r="G61">
        <v>147.196578356</v>
      </c>
    </row>
    <row r="62" spans="1:7" x14ac:dyDescent="0.3">
      <c r="A62" s="18">
        <v>41974</v>
      </c>
      <c r="B62" s="21">
        <v>150.69139292344116</v>
      </c>
      <c r="F62" s="18">
        <v>41944</v>
      </c>
      <c r="G62">
        <v>148.5174853</v>
      </c>
    </row>
    <row r="63" spans="1:7" x14ac:dyDescent="0.3">
      <c r="A63" s="18">
        <v>42005</v>
      </c>
      <c r="B63" s="21">
        <v>156.8848091725946</v>
      </c>
      <c r="F63" s="18">
        <v>41974</v>
      </c>
      <c r="G63">
        <v>151.05004752599999</v>
      </c>
    </row>
    <row r="64" spans="1:7" x14ac:dyDescent="0.3">
      <c r="A64" s="18">
        <v>42036</v>
      </c>
      <c r="B64" s="21">
        <v>161.60704192868971</v>
      </c>
      <c r="F64" s="18">
        <v>42005</v>
      </c>
      <c r="G64">
        <v>156.79045948800001</v>
      </c>
    </row>
    <row r="65" spans="1:7" x14ac:dyDescent="0.3">
      <c r="A65" s="18">
        <v>42064</v>
      </c>
      <c r="B65" s="21">
        <v>164.70989713372055</v>
      </c>
      <c r="F65" s="18">
        <v>42036</v>
      </c>
      <c r="G65">
        <v>161.15734944900001</v>
      </c>
    </row>
    <row r="66" spans="1:7" x14ac:dyDescent="0.3">
      <c r="A66" s="18">
        <v>42095</v>
      </c>
      <c r="B66" s="21">
        <v>166.75229985817867</v>
      </c>
      <c r="F66" s="18">
        <v>42064</v>
      </c>
      <c r="G66">
        <v>163.974323236</v>
      </c>
    </row>
    <row r="67" spans="1:7" x14ac:dyDescent="0.3">
      <c r="A67" s="18">
        <v>42125</v>
      </c>
      <c r="B67" s="21">
        <v>167.36928336765396</v>
      </c>
      <c r="F67" s="18">
        <v>42095</v>
      </c>
      <c r="G67">
        <v>165.63288643199999</v>
      </c>
    </row>
    <row r="68" spans="1:7" x14ac:dyDescent="0.3">
      <c r="A68" s="18">
        <v>42156</v>
      </c>
      <c r="B68" s="21">
        <v>166.90064937422451</v>
      </c>
      <c r="F68" s="18">
        <v>42125</v>
      </c>
      <c r="G68">
        <v>166.24977074</v>
      </c>
    </row>
    <row r="69" spans="1:7" x14ac:dyDescent="0.3">
      <c r="A69" s="18">
        <v>42186</v>
      </c>
      <c r="B69" s="21">
        <v>167.45142151715947</v>
      </c>
      <c r="F69" s="18">
        <v>42156</v>
      </c>
      <c r="G69">
        <v>166.42490157700001</v>
      </c>
    </row>
    <row r="70" spans="1:7" x14ac:dyDescent="0.3">
      <c r="A70" s="18">
        <v>42217</v>
      </c>
      <c r="B70" s="21">
        <v>168.18820777183498</v>
      </c>
      <c r="F70" s="18">
        <v>42186</v>
      </c>
      <c r="G70">
        <v>167.500131963</v>
      </c>
    </row>
    <row r="71" spans="1:7" x14ac:dyDescent="0.3">
      <c r="A71" s="18">
        <v>42248</v>
      </c>
      <c r="B71" s="21">
        <v>169.87008984955332</v>
      </c>
      <c r="F71" s="18">
        <v>42217</v>
      </c>
      <c r="G71">
        <v>169.134391773</v>
      </c>
    </row>
    <row r="72" spans="1:7" x14ac:dyDescent="0.3">
      <c r="A72" s="18">
        <v>42278</v>
      </c>
      <c r="B72" s="21">
        <v>172.09538802658247</v>
      </c>
      <c r="F72" s="18">
        <v>42248</v>
      </c>
      <c r="G72">
        <v>170.864458114</v>
      </c>
    </row>
    <row r="73" spans="1:7" x14ac:dyDescent="0.3">
      <c r="A73" s="18">
        <v>42309</v>
      </c>
      <c r="B73" s="21">
        <v>172.64609326826749</v>
      </c>
      <c r="F73" s="18">
        <v>42278</v>
      </c>
      <c r="G73">
        <v>173.04369203900001</v>
      </c>
    </row>
    <row r="74" spans="1:7" x14ac:dyDescent="0.3">
      <c r="A74" s="18">
        <v>42339</v>
      </c>
      <c r="B74" s="21">
        <v>173.71649904653077</v>
      </c>
      <c r="F74" s="18">
        <v>42309</v>
      </c>
      <c r="G74">
        <v>173.45342675800001</v>
      </c>
    </row>
    <row r="75" spans="1:7" x14ac:dyDescent="0.3">
      <c r="A75" s="18">
        <v>42370</v>
      </c>
      <c r="B75" s="21">
        <v>175.0888593889984</v>
      </c>
      <c r="F75" s="18">
        <v>42339</v>
      </c>
      <c r="G75">
        <v>174.13001585399999</v>
      </c>
    </row>
    <row r="76" spans="1:7" x14ac:dyDescent="0.3">
      <c r="A76" s="18">
        <v>42401</v>
      </c>
      <c r="B76" s="21">
        <v>176.1744103172102</v>
      </c>
      <c r="F76" s="18">
        <v>42370</v>
      </c>
      <c r="G76">
        <v>174.98538469100001</v>
      </c>
    </row>
    <row r="77" spans="1:7" x14ac:dyDescent="0.3">
      <c r="A77" s="18">
        <v>42430</v>
      </c>
      <c r="B77" s="21">
        <v>176.61484634300322</v>
      </c>
      <c r="F77" s="18">
        <v>42401</v>
      </c>
      <c r="G77">
        <v>175.68633884900001</v>
      </c>
    </row>
    <row r="78" spans="1:7" x14ac:dyDescent="0.3">
      <c r="A78" s="18">
        <v>42461</v>
      </c>
      <c r="B78" s="21">
        <v>178.53994816814196</v>
      </c>
      <c r="F78" s="18">
        <v>42430</v>
      </c>
      <c r="G78">
        <v>175.831734947</v>
      </c>
    </row>
    <row r="79" spans="1:7" x14ac:dyDescent="0.3">
      <c r="A79" s="18">
        <v>42491</v>
      </c>
      <c r="B79" s="21">
        <v>178.91488205929505</v>
      </c>
      <c r="F79" s="18">
        <v>42461</v>
      </c>
      <c r="G79">
        <v>177.342878356</v>
      </c>
    </row>
    <row r="80" spans="1:7" x14ac:dyDescent="0.3">
      <c r="A80" s="18">
        <v>42522</v>
      </c>
      <c r="B80" s="21">
        <v>179.34427777623736</v>
      </c>
      <c r="F80" s="18">
        <v>42491</v>
      </c>
      <c r="G80">
        <v>177.72210770999999</v>
      </c>
    </row>
    <row r="81" spans="1:7" x14ac:dyDescent="0.3">
      <c r="A81" s="18">
        <v>42552</v>
      </c>
      <c r="B81" s="21">
        <v>180.43827787067238</v>
      </c>
      <c r="F81" s="18">
        <v>42522</v>
      </c>
      <c r="G81">
        <v>178.82972107699999</v>
      </c>
    </row>
    <row r="82" spans="1:7" x14ac:dyDescent="0.3">
      <c r="A82" s="18">
        <v>42583</v>
      </c>
      <c r="B82" s="21">
        <v>180.60067232075599</v>
      </c>
      <c r="F82" s="18">
        <v>42552</v>
      </c>
      <c r="G82">
        <v>180.48555609600001</v>
      </c>
    </row>
    <row r="83" spans="1:7" x14ac:dyDescent="0.3">
      <c r="A83" s="18">
        <v>42614</v>
      </c>
      <c r="B83" s="21">
        <v>180.365891446739</v>
      </c>
      <c r="F83" s="18">
        <v>42583</v>
      </c>
      <c r="G83">
        <v>181.61050289100001</v>
      </c>
    </row>
    <row r="84" spans="1:7" x14ac:dyDescent="0.3">
      <c r="A84" s="18">
        <v>42644</v>
      </c>
      <c r="B84" s="21">
        <v>181.44808679541944</v>
      </c>
      <c r="F84" s="18">
        <v>42614</v>
      </c>
      <c r="G84">
        <v>181.42449767400001</v>
      </c>
    </row>
    <row r="85" spans="1:7" x14ac:dyDescent="0.3">
      <c r="A85" s="18">
        <v>42675</v>
      </c>
      <c r="B85" s="21">
        <v>181.97428624712617</v>
      </c>
      <c r="F85" s="18">
        <v>42644</v>
      </c>
      <c r="G85">
        <v>182.44946965400001</v>
      </c>
    </row>
    <row r="86" spans="1:7" x14ac:dyDescent="0.3">
      <c r="A86" s="18">
        <v>42705</v>
      </c>
      <c r="B86" s="21">
        <v>184.39454425421297</v>
      </c>
      <c r="F86" s="18">
        <v>42675</v>
      </c>
      <c r="G86">
        <v>182.82276539</v>
      </c>
    </row>
    <row r="87" spans="1:7" x14ac:dyDescent="0.3">
      <c r="A87" s="18">
        <v>42736</v>
      </c>
      <c r="B87" s="21">
        <v>185.26119861220778</v>
      </c>
      <c r="F87" s="18">
        <v>42705</v>
      </c>
      <c r="G87">
        <v>184.834548093</v>
      </c>
    </row>
    <row r="88" spans="1:7" x14ac:dyDescent="0.3">
      <c r="A88" s="18">
        <v>42767</v>
      </c>
      <c r="B88" s="21">
        <v>185.87256056762806</v>
      </c>
      <c r="F88" s="18">
        <v>42736</v>
      </c>
      <c r="G88">
        <v>185.153894081</v>
      </c>
    </row>
    <row r="89" spans="1:7" x14ac:dyDescent="0.3">
      <c r="A89" s="18">
        <v>42795</v>
      </c>
      <c r="B89" s="21">
        <v>186.24430568876332</v>
      </c>
      <c r="F89" s="18">
        <v>42767</v>
      </c>
      <c r="G89">
        <v>185.35919340000001</v>
      </c>
    </row>
    <row r="90" spans="1:7" x14ac:dyDescent="0.3">
      <c r="A90" s="18">
        <v>42826</v>
      </c>
      <c r="B90" s="21">
        <v>187.67838684256679</v>
      </c>
      <c r="F90" s="18">
        <v>42795</v>
      </c>
      <c r="G90">
        <v>185.42251603599999</v>
      </c>
    </row>
    <row r="91" spans="1:7" x14ac:dyDescent="0.3">
      <c r="A91" s="18">
        <v>42856</v>
      </c>
      <c r="B91" s="21">
        <v>188.54170742204261</v>
      </c>
      <c r="F91" s="18">
        <v>42826</v>
      </c>
      <c r="G91">
        <v>186.421062105</v>
      </c>
    </row>
    <row r="92" spans="1:7" x14ac:dyDescent="0.3">
      <c r="A92" s="18">
        <v>42887</v>
      </c>
      <c r="B92" s="21">
        <v>189.63524932509046</v>
      </c>
      <c r="F92" s="18">
        <v>42856</v>
      </c>
      <c r="G92">
        <v>187.28715972500001</v>
      </c>
    </row>
    <row r="93" spans="1:7" x14ac:dyDescent="0.3">
      <c r="A93" s="18">
        <v>42917</v>
      </c>
      <c r="B93" s="21">
        <v>188.72500012833004</v>
      </c>
      <c r="F93" s="18">
        <v>42887</v>
      </c>
      <c r="G93">
        <v>189.086626456</v>
      </c>
    </row>
    <row r="94" spans="1:7" x14ac:dyDescent="0.3">
      <c r="A94" s="18">
        <v>42948</v>
      </c>
      <c r="B94" s="21">
        <v>187.76250262767553</v>
      </c>
      <c r="F94" s="18">
        <v>42917</v>
      </c>
      <c r="G94">
        <v>188.76959378199999</v>
      </c>
    </row>
    <row r="95" spans="1:7" x14ac:dyDescent="0.3">
      <c r="A95" s="18">
        <v>42979</v>
      </c>
      <c r="B95" s="21">
        <v>187.49963512399677</v>
      </c>
      <c r="F95" s="18">
        <v>42948</v>
      </c>
      <c r="G95">
        <v>188.80733184299999</v>
      </c>
    </row>
    <row r="96" spans="1:7" x14ac:dyDescent="0.3">
      <c r="A96" s="18">
        <v>43009</v>
      </c>
      <c r="B96" s="21">
        <v>187.79963454019514</v>
      </c>
      <c r="F96" s="18">
        <v>42979</v>
      </c>
      <c r="G96">
        <v>188.60212516300001</v>
      </c>
    </row>
    <row r="97" spans="1:7" x14ac:dyDescent="0.3">
      <c r="A97" s="18">
        <v>43040</v>
      </c>
      <c r="B97" s="21">
        <v>188.13767388236749</v>
      </c>
      <c r="F97" s="18">
        <v>43009</v>
      </c>
      <c r="G97">
        <v>188.83750124100001</v>
      </c>
    </row>
    <row r="98" spans="1:7" x14ac:dyDescent="0.3">
      <c r="A98" s="18">
        <v>43070</v>
      </c>
      <c r="B98" s="21">
        <v>188.96547964744991</v>
      </c>
      <c r="F98" s="18">
        <v>43040</v>
      </c>
      <c r="G98">
        <v>189.01124404199999</v>
      </c>
    </row>
    <row r="99" spans="1:7" x14ac:dyDescent="0.3">
      <c r="A99" s="18">
        <v>43101</v>
      </c>
      <c r="B99" s="21">
        <v>188.90879000355565</v>
      </c>
      <c r="F99" s="18">
        <v>43070</v>
      </c>
      <c r="G99">
        <v>189.419221886</v>
      </c>
    </row>
    <row r="100" spans="1:7" x14ac:dyDescent="0.3">
      <c r="A100" s="18">
        <v>43132</v>
      </c>
      <c r="B100" s="21">
        <v>189.55107988956775</v>
      </c>
      <c r="F100" s="18">
        <v>43101</v>
      </c>
      <c r="G100">
        <v>188.802286571</v>
      </c>
    </row>
    <row r="101" spans="1:7" x14ac:dyDescent="0.3">
      <c r="A101" s="18">
        <v>43160</v>
      </c>
      <c r="B101" s="21">
        <v>189.70272075347941</v>
      </c>
      <c r="F101" s="18">
        <v>43132</v>
      </c>
      <c r="G101">
        <v>189.02869162100001</v>
      </c>
    </row>
    <row r="102" spans="1:7" x14ac:dyDescent="0.3">
      <c r="A102" s="18">
        <v>43191</v>
      </c>
      <c r="B102" s="21">
        <v>190.65123435724681</v>
      </c>
      <c r="F102" s="18">
        <v>43160</v>
      </c>
      <c r="G102">
        <v>188.867428386</v>
      </c>
    </row>
    <row r="103" spans="1:7" x14ac:dyDescent="0.3">
      <c r="A103" s="18">
        <v>43221</v>
      </c>
      <c r="B103" s="21">
        <v>190.82282046816832</v>
      </c>
      <c r="F103" s="18">
        <v>43191</v>
      </c>
      <c r="G103">
        <v>189.374286735</v>
      </c>
    </row>
    <row r="104" spans="1:7" x14ac:dyDescent="0.3">
      <c r="A104" s="18">
        <v>43252</v>
      </c>
      <c r="B104" s="21">
        <v>192.04408651916458</v>
      </c>
      <c r="F104" s="18">
        <v>43221</v>
      </c>
      <c r="G104">
        <v>189.55549331</v>
      </c>
    </row>
    <row r="105" spans="1:7" x14ac:dyDescent="0.3">
      <c r="A105" s="18">
        <v>43282</v>
      </c>
      <c r="B105" s="21">
        <v>192.27453942298757</v>
      </c>
      <c r="F105" s="18">
        <v>43252</v>
      </c>
      <c r="G105">
        <v>191.48767580500001</v>
      </c>
    </row>
    <row r="106" spans="1:7" x14ac:dyDescent="0.3">
      <c r="A106" s="18">
        <v>43313</v>
      </c>
      <c r="B106" s="21">
        <v>192.17840215327607</v>
      </c>
      <c r="F106" s="18">
        <v>43282</v>
      </c>
      <c r="G106">
        <v>192.31777285999999</v>
      </c>
    </row>
    <row r="107" spans="1:7" x14ac:dyDescent="0.3">
      <c r="A107" s="18">
        <v>43344</v>
      </c>
      <c r="B107" s="21">
        <v>191.60186694681627</v>
      </c>
      <c r="F107" s="18">
        <v>43313</v>
      </c>
      <c r="G107">
        <v>193.244899887</v>
      </c>
    </row>
    <row r="108" spans="1:7" x14ac:dyDescent="0.3">
      <c r="A108" s="18">
        <v>43374</v>
      </c>
      <c r="B108" s="21">
        <v>191.77430862706842</v>
      </c>
      <c r="F108" s="18">
        <v>43344</v>
      </c>
      <c r="G108">
        <v>192.730641152</v>
      </c>
    </row>
    <row r="109" spans="1:7" x14ac:dyDescent="0.3">
      <c r="A109" s="18">
        <v>43405</v>
      </c>
      <c r="B109" s="21">
        <v>193.44274511212393</v>
      </c>
      <c r="F109" s="18">
        <v>43374</v>
      </c>
      <c r="G109">
        <v>192.83567303300001</v>
      </c>
    </row>
    <row r="110" spans="1:7" x14ac:dyDescent="0.3">
      <c r="A110" s="18">
        <v>43435</v>
      </c>
      <c r="B110" s="21">
        <v>195.53192675933485</v>
      </c>
      <c r="F110" s="18">
        <v>43405</v>
      </c>
      <c r="G110">
        <v>194.337143852</v>
      </c>
    </row>
    <row r="111" spans="1:7" x14ac:dyDescent="0.3">
      <c r="A111" s="18">
        <v>43466</v>
      </c>
      <c r="B111" s="21">
        <v>197.76099072439126</v>
      </c>
      <c r="F111" s="18">
        <v>43435</v>
      </c>
      <c r="G111">
        <v>196.00544453399999</v>
      </c>
    </row>
    <row r="112" spans="1:7" x14ac:dyDescent="0.3">
      <c r="A112" s="18">
        <v>43497</v>
      </c>
      <c r="B112" s="21">
        <v>199.16509375853443</v>
      </c>
      <c r="F112" s="18">
        <v>43466</v>
      </c>
      <c r="G112">
        <v>197.65169448099999</v>
      </c>
    </row>
    <row r="113" spans="1:7" x14ac:dyDescent="0.3">
      <c r="A113" s="18">
        <v>43525</v>
      </c>
      <c r="B113" s="21">
        <v>200.26050177420635</v>
      </c>
      <c r="F113" s="18">
        <v>43497</v>
      </c>
      <c r="G113">
        <v>198.61597388999999</v>
      </c>
    </row>
    <row r="114" spans="1:7" x14ac:dyDescent="0.3">
      <c r="A114" s="18">
        <v>43556</v>
      </c>
      <c r="B114" s="21">
        <v>201.44203873467416</v>
      </c>
      <c r="F114" s="18">
        <v>43525</v>
      </c>
      <c r="G114">
        <v>199.37780859200001</v>
      </c>
    </row>
    <row r="115" spans="1:7" x14ac:dyDescent="0.3">
      <c r="A115" s="18">
        <v>43586</v>
      </c>
      <c r="B115" s="21">
        <v>202.50968153996794</v>
      </c>
      <c r="F115" s="18">
        <v>43556</v>
      </c>
      <c r="G115">
        <v>200.09048576000001</v>
      </c>
    </row>
    <row r="116" spans="1:7" x14ac:dyDescent="0.3">
      <c r="A116" s="18">
        <v>43617</v>
      </c>
      <c r="B116" s="21">
        <v>201.67939184565407</v>
      </c>
      <c r="F116" s="18">
        <v>43586</v>
      </c>
      <c r="G116">
        <v>201.16453280499999</v>
      </c>
    </row>
    <row r="117" spans="1:7" x14ac:dyDescent="0.3">
      <c r="A117" s="18">
        <v>43647</v>
      </c>
      <c r="B117" s="21">
        <v>201.51804833217753</v>
      </c>
      <c r="F117" s="18">
        <v>43617</v>
      </c>
      <c r="G117">
        <v>201.094934446</v>
      </c>
    </row>
    <row r="118" spans="1:7" x14ac:dyDescent="0.3">
      <c r="A118" s="18">
        <v>43678</v>
      </c>
      <c r="B118" s="21">
        <v>201.17546765001282</v>
      </c>
      <c r="F118" s="18">
        <v>43647</v>
      </c>
      <c r="G118">
        <v>201.562235278</v>
      </c>
    </row>
    <row r="119" spans="1:7" x14ac:dyDescent="0.3">
      <c r="A119" s="18">
        <v>43709</v>
      </c>
      <c r="B119" s="21">
        <v>200.53170615353281</v>
      </c>
      <c r="F119" s="18">
        <v>43678</v>
      </c>
      <c r="G119">
        <v>202.29051550899999</v>
      </c>
    </row>
    <row r="120" spans="1:7" x14ac:dyDescent="0.3">
      <c r="A120" s="18">
        <v>43739</v>
      </c>
      <c r="B120" s="21">
        <v>201.13330127199342</v>
      </c>
      <c r="F120" s="18">
        <v>43709</v>
      </c>
      <c r="G120">
        <v>201.713203639</v>
      </c>
    </row>
    <row r="121" spans="1:7" x14ac:dyDescent="0.3">
      <c r="A121" s="18">
        <v>43770</v>
      </c>
      <c r="B121" s="21">
        <v>201.91772114695422</v>
      </c>
      <c r="F121" s="18">
        <v>43739</v>
      </c>
      <c r="G121">
        <v>202.244352687</v>
      </c>
    </row>
    <row r="122" spans="1:7" x14ac:dyDescent="0.3">
      <c r="A122" s="18">
        <v>43800</v>
      </c>
      <c r="B122" s="21">
        <v>202.74558380365673</v>
      </c>
      <c r="F122" s="18">
        <v>43770</v>
      </c>
      <c r="G122">
        <v>202.84513997299999</v>
      </c>
    </row>
    <row r="123" spans="1:7" x14ac:dyDescent="0.3">
      <c r="A123" s="18">
        <v>43831</v>
      </c>
      <c r="B123" s="21">
        <v>203.75931172267502</v>
      </c>
      <c r="F123" s="18">
        <v>43800</v>
      </c>
      <c r="G123">
        <v>203.24094599399999</v>
      </c>
    </row>
    <row r="124" spans="1:7" x14ac:dyDescent="0.3">
      <c r="A124" s="18">
        <v>43862</v>
      </c>
      <c r="B124" s="21">
        <v>204.57434896956573</v>
      </c>
      <c r="F124" s="18">
        <v>43831</v>
      </c>
      <c r="G124">
        <v>203.65066007799999</v>
      </c>
    </row>
    <row r="125" spans="1:7" x14ac:dyDescent="0.3">
      <c r="A125" s="18">
        <v>43891</v>
      </c>
      <c r="B125" s="21">
        <v>205.94499710766183</v>
      </c>
      <c r="F125" s="18">
        <v>43862</v>
      </c>
      <c r="G125">
        <v>204.012297464</v>
      </c>
    </row>
    <row r="126" spans="1:7" x14ac:dyDescent="0.3">
      <c r="A126" s="18">
        <v>43922</v>
      </c>
      <c r="B126" s="21">
        <v>208.62228207006146</v>
      </c>
      <c r="F126" s="18">
        <v>43891</v>
      </c>
      <c r="G126">
        <v>205.03811007199999</v>
      </c>
    </row>
    <row r="127" spans="1:7" x14ac:dyDescent="0.3">
      <c r="A127" s="18">
        <v>43952</v>
      </c>
      <c r="B127" s="21">
        <v>208.87262880854556</v>
      </c>
      <c r="F127" s="18">
        <v>43922</v>
      </c>
      <c r="G127">
        <v>207.22294631899999</v>
      </c>
    </row>
    <row r="128" spans="1:7" x14ac:dyDescent="0.3">
      <c r="A128" s="18">
        <v>43983</v>
      </c>
      <c r="B128" s="21">
        <v>208.89351607142643</v>
      </c>
      <c r="F128" s="18">
        <v>43952</v>
      </c>
      <c r="G128">
        <v>207.487681802</v>
      </c>
    </row>
    <row r="129" spans="1:7" x14ac:dyDescent="0.3">
      <c r="A129" s="18">
        <v>44013</v>
      </c>
      <c r="B129" s="21">
        <v>208.58017579731927</v>
      </c>
      <c r="F129" s="18">
        <v>43983</v>
      </c>
      <c r="G129">
        <v>208.29005208800001</v>
      </c>
    </row>
    <row r="130" spans="1:7" x14ac:dyDescent="0.3">
      <c r="A130" s="18">
        <v>44044</v>
      </c>
      <c r="B130" s="21">
        <v>208.80961399069631</v>
      </c>
      <c r="F130" s="18">
        <v>44013</v>
      </c>
      <c r="G130">
        <v>208.62585075499999</v>
      </c>
    </row>
    <row r="131" spans="1:7" x14ac:dyDescent="0.3">
      <c r="A131" s="18">
        <v>44075</v>
      </c>
      <c r="B131" s="21">
        <v>209.0810664888842</v>
      </c>
      <c r="F131" s="18">
        <v>44044</v>
      </c>
      <c r="G131">
        <v>209.96735473800001</v>
      </c>
    </row>
    <row r="132" spans="1:7" x14ac:dyDescent="0.3">
      <c r="A132" s="18">
        <v>44105</v>
      </c>
      <c r="B132" s="21">
        <v>210.12647182132864</v>
      </c>
      <c r="F132" s="18">
        <v>44075</v>
      </c>
      <c r="G132">
        <v>210.31139517299999</v>
      </c>
    </row>
    <row r="133" spans="1:7" x14ac:dyDescent="0.3">
      <c r="A133" s="18">
        <v>44136</v>
      </c>
      <c r="B133" s="21">
        <v>211.76545830153501</v>
      </c>
      <c r="F133" s="18">
        <v>44105</v>
      </c>
      <c r="G133">
        <v>211.28283516799999</v>
      </c>
    </row>
    <row r="134" spans="1:7" x14ac:dyDescent="0.3">
      <c r="A134" s="18">
        <v>44166</v>
      </c>
      <c r="B134" s="21">
        <v>213.67134742624884</v>
      </c>
      <c r="F134" s="18">
        <v>44136</v>
      </c>
      <c r="G134">
        <v>212.73009661099999</v>
      </c>
    </row>
    <row r="135" spans="1:7" x14ac:dyDescent="0.3">
      <c r="A135" s="18">
        <v>44197</v>
      </c>
      <c r="B135" s="21">
        <v>214.95337551080632</v>
      </c>
      <c r="F135" s="18">
        <v>44166</v>
      </c>
      <c r="G135">
        <v>214.19653082400001</v>
      </c>
    </row>
    <row r="136" spans="1:7" x14ac:dyDescent="0.3">
      <c r="A136" s="18">
        <v>44228</v>
      </c>
      <c r="B136" s="21">
        <v>217.16739527856762</v>
      </c>
      <c r="F136" s="18">
        <v>44197</v>
      </c>
      <c r="G136">
        <v>214.84100086199999</v>
      </c>
    </row>
    <row r="137" spans="1:7" x14ac:dyDescent="0.3">
      <c r="A137" s="18">
        <v>44256</v>
      </c>
      <c r="B137" s="21">
        <v>220.01228815671686</v>
      </c>
      <c r="F137" s="18">
        <v>44228</v>
      </c>
      <c r="G137">
        <v>216.570480417</v>
      </c>
    </row>
    <row r="138" spans="1:7" x14ac:dyDescent="0.3">
      <c r="A138" s="18">
        <v>44287</v>
      </c>
      <c r="B138" s="21">
        <v>221.90439383486463</v>
      </c>
      <c r="F138" s="18">
        <v>44256</v>
      </c>
      <c r="G138">
        <v>219.043704795</v>
      </c>
    </row>
    <row r="139" spans="1:7" x14ac:dyDescent="0.3">
      <c r="A139" s="18">
        <v>44317</v>
      </c>
      <c r="B139" s="21">
        <v>222.81420184958759</v>
      </c>
      <c r="F139" s="18">
        <v>44287</v>
      </c>
      <c r="G139">
        <v>220.41899787899999</v>
      </c>
    </row>
    <row r="140" spans="1:7" x14ac:dyDescent="0.3">
      <c r="A140" s="18">
        <v>44348</v>
      </c>
      <c r="B140" s="21">
        <v>224.06196137994527</v>
      </c>
      <c r="F140" s="18">
        <v>44317</v>
      </c>
      <c r="G140">
        <v>221.34129684499999</v>
      </c>
    </row>
    <row r="141" spans="1:7" x14ac:dyDescent="0.3">
      <c r="A141" s="18">
        <v>44378</v>
      </c>
      <c r="B141" s="21">
        <v>224.55489769498115</v>
      </c>
      <c r="F141" s="18">
        <v>44348</v>
      </c>
      <c r="G141">
        <v>223.41808652700001</v>
      </c>
    </row>
    <row r="142" spans="1:7" x14ac:dyDescent="0.3">
      <c r="A142" s="18">
        <v>44409</v>
      </c>
      <c r="B142" s="21">
        <v>224.91418553129313</v>
      </c>
      <c r="F142" s="18">
        <v>44378</v>
      </c>
      <c r="G142">
        <v>224.60398640099999</v>
      </c>
    </row>
    <row r="143" spans="1:7" x14ac:dyDescent="0.3">
      <c r="A143" s="18">
        <v>44440</v>
      </c>
      <c r="B143" s="21">
        <v>226.55605908567159</v>
      </c>
      <c r="F143" s="18">
        <v>44409</v>
      </c>
      <c r="G143">
        <v>226.16243629300001</v>
      </c>
    </row>
    <row r="144" spans="1:7" x14ac:dyDescent="0.3">
      <c r="A144" s="18">
        <v>44470</v>
      </c>
      <c r="B144" s="21">
        <v>228.64037482925977</v>
      </c>
      <c r="F144" s="18">
        <v>44440</v>
      </c>
      <c r="G144">
        <v>227.886207482</v>
      </c>
    </row>
    <row r="145" spans="1:7" x14ac:dyDescent="0.3">
      <c r="A145" s="18">
        <v>44501</v>
      </c>
      <c r="B145" s="21">
        <v>230.6066820527914</v>
      </c>
      <c r="F145" s="18">
        <v>44470</v>
      </c>
      <c r="G145">
        <v>229.89226208400001</v>
      </c>
    </row>
    <row r="146" spans="1:7" x14ac:dyDescent="0.3">
      <c r="A146" s="18">
        <v>44531</v>
      </c>
      <c r="B146" s="21">
        <v>231.09095608510225</v>
      </c>
      <c r="F146" s="18">
        <v>44501</v>
      </c>
      <c r="G146">
        <v>231.64778872900001</v>
      </c>
    </row>
    <row r="147" spans="1:7" x14ac:dyDescent="0.3">
      <c r="A147" s="18">
        <v>44562</v>
      </c>
      <c r="B147" s="21">
        <v>233.91026574934051</v>
      </c>
      <c r="F147" s="18">
        <v>44531</v>
      </c>
      <c r="G147">
        <v>231.661178382</v>
      </c>
    </row>
    <row r="148" spans="1:7" x14ac:dyDescent="0.3">
      <c r="A148" s="18">
        <v>44593</v>
      </c>
      <c r="B148" s="21">
        <v>236.1090222473843</v>
      </c>
      <c r="F148" s="18">
        <v>44562</v>
      </c>
      <c r="G148">
        <v>233.78813596399999</v>
      </c>
    </row>
    <row r="149" spans="1:7" x14ac:dyDescent="0.3">
      <c r="A149" s="18">
        <v>44621</v>
      </c>
      <c r="B149" s="21">
        <v>249.21307298211414</v>
      </c>
      <c r="F149" s="18">
        <v>44593</v>
      </c>
      <c r="G149">
        <v>235.45818818000001</v>
      </c>
    </row>
    <row r="150" spans="1:7" x14ac:dyDescent="0.3">
      <c r="A150" s="18">
        <v>44652</v>
      </c>
      <c r="B150" s="21">
        <v>257.38726177592747</v>
      </c>
      <c r="F150" s="18">
        <v>44621</v>
      </c>
      <c r="G150">
        <v>248.11736820499999</v>
      </c>
    </row>
    <row r="151" spans="1:7" x14ac:dyDescent="0.3">
      <c r="A151" s="18">
        <v>44682</v>
      </c>
      <c r="B151" s="21">
        <v>259.13749515600381</v>
      </c>
      <c r="F151" s="18">
        <v>44652</v>
      </c>
      <c r="G151">
        <v>255.669728488</v>
      </c>
    </row>
    <row r="152" spans="1:7" x14ac:dyDescent="0.3">
      <c r="A152" s="18">
        <v>44713</v>
      </c>
      <c r="B152" s="21">
        <v>257.37536018894298</v>
      </c>
      <c r="F152" s="18">
        <v>44682</v>
      </c>
      <c r="G152">
        <v>257.43050253500002</v>
      </c>
    </row>
    <row r="153" spans="1:7" x14ac:dyDescent="0.3">
      <c r="A153" s="18">
        <v>44743</v>
      </c>
      <c r="B153" s="21">
        <v>255.39356991548811</v>
      </c>
      <c r="F153" s="18">
        <v>44713</v>
      </c>
      <c r="G153">
        <v>256.641177691</v>
      </c>
    </row>
    <row r="154" spans="1:7" x14ac:dyDescent="0.3">
      <c r="A154" s="18">
        <v>44774</v>
      </c>
      <c r="B154" s="21">
        <v>253.93782656696985</v>
      </c>
      <c r="F154" s="18">
        <v>44743</v>
      </c>
      <c r="G154">
        <v>255.44895600300001</v>
      </c>
    </row>
    <row r="155" spans="1:7" x14ac:dyDescent="0.3">
      <c r="A155" s="18">
        <v>44805</v>
      </c>
      <c r="B155" s="21">
        <v>254.77582139464084</v>
      </c>
      <c r="F155" s="18">
        <v>44774</v>
      </c>
      <c r="G155">
        <v>255.34808610300001</v>
      </c>
    </row>
    <row r="156" spans="1:7" x14ac:dyDescent="0.3">
      <c r="A156" s="18">
        <v>44835</v>
      </c>
      <c r="B156" s="21">
        <v>256.45734181584544</v>
      </c>
      <c r="F156" s="18">
        <v>44805</v>
      </c>
      <c r="G156">
        <v>256.26771851400002</v>
      </c>
    </row>
    <row r="157" spans="1:7" x14ac:dyDescent="0.3">
      <c r="A157" s="18">
        <v>44866</v>
      </c>
      <c r="B157" s="21">
        <v>257.12413090456664</v>
      </c>
      <c r="F157" s="18">
        <v>44835</v>
      </c>
      <c r="G157">
        <v>257.85538936199998</v>
      </c>
    </row>
    <row r="158" spans="1:7" x14ac:dyDescent="0.3">
      <c r="A158" s="18">
        <v>44896</v>
      </c>
      <c r="B158" s="21">
        <v>258.58973845072268</v>
      </c>
      <c r="F158" s="18">
        <v>44866</v>
      </c>
      <c r="G158">
        <v>258.27534682700002</v>
      </c>
    </row>
    <row r="159" spans="1:7" x14ac:dyDescent="0.3">
      <c r="A159" s="18">
        <v>44927</v>
      </c>
      <c r="B159" s="21">
        <v>261.51180249521582</v>
      </c>
      <c r="F159" s="18">
        <v>44896</v>
      </c>
      <c r="G159">
        <v>259.22768648499999</v>
      </c>
    </row>
    <row r="160" spans="1:7" x14ac:dyDescent="0.3">
      <c r="A160" s="18">
        <v>44958</v>
      </c>
      <c r="B160" s="21">
        <v>263.47314101392993</v>
      </c>
      <c r="F160" s="18">
        <v>44927</v>
      </c>
      <c r="G160">
        <v>261.37392325000002</v>
      </c>
    </row>
    <row r="161" spans="1:7" x14ac:dyDescent="0.3">
      <c r="A161" s="18">
        <v>44986</v>
      </c>
      <c r="B161" s="21">
        <v>264.50068626388429</v>
      </c>
      <c r="F161" s="18">
        <v>44958</v>
      </c>
      <c r="G161">
        <v>262.74428788300003</v>
      </c>
    </row>
    <row r="162" spans="1:7" x14ac:dyDescent="0.3">
      <c r="A162" s="18">
        <v>45017</v>
      </c>
      <c r="B162" s="21">
        <v>266.40509120498422</v>
      </c>
      <c r="F162" s="18">
        <v>44986</v>
      </c>
      <c r="G162">
        <v>263.33927709900001</v>
      </c>
    </row>
    <row r="163" spans="1:7" x14ac:dyDescent="0.3">
      <c r="A163" s="18">
        <v>45047</v>
      </c>
      <c r="B163" s="21">
        <v>265.73907847697177</v>
      </c>
      <c r="F163" s="18">
        <v>45017</v>
      </c>
      <c r="G163">
        <v>264.63531763999998</v>
      </c>
    </row>
    <row r="164" spans="1:7" x14ac:dyDescent="0.3">
      <c r="A164" s="18">
        <v>45078</v>
      </c>
      <c r="B164" s="21">
        <v>266.88175651442276</v>
      </c>
      <c r="F164" s="18">
        <v>45047</v>
      </c>
      <c r="G164">
        <v>264.00019991599999</v>
      </c>
    </row>
    <row r="165" spans="1:7" x14ac:dyDescent="0.3">
      <c r="A165" s="18">
        <v>45108</v>
      </c>
      <c r="B165" s="21">
        <v>268.21616529699486</v>
      </c>
      <c r="F165" s="18">
        <v>45078</v>
      </c>
      <c r="G165">
        <v>266.13034671200001</v>
      </c>
    </row>
    <row r="166" spans="1:7" ht="15.7" customHeight="1" x14ac:dyDescent="0.3">
      <c r="A166" s="18">
        <v>45139</v>
      </c>
      <c r="B166" s="21">
        <v>268.02841398128697</v>
      </c>
      <c r="F166" s="18">
        <v>45108</v>
      </c>
      <c r="G166">
        <v>268.27381399000001</v>
      </c>
    </row>
    <row r="167" spans="1:7" x14ac:dyDescent="0.3">
      <c r="A167" s="18">
        <v>45170</v>
      </c>
      <c r="B167" s="21">
        <v>272.71891122595952</v>
      </c>
      <c r="F167" s="18">
        <v>45139</v>
      </c>
      <c r="G167">
        <v>269.51522494400001</v>
      </c>
    </row>
    <row r="168" spans="1:7" x14ac:dyDescent="0.3">
      <c r="A168" s="18">
        <v>45200</v>
      </c>
      <c r="B168" s="21">
        <v>273.97341821759892</v>
      </c>
      <c r="F168" s="18">
        <v>45170</v>
      </c>
      <c r="G168">
        <v>274.31101513300001</v>
      </c>
    </row>
    <row r="169" spans="1:7" x14ac:dyDescent="0.3">
      <c r="A169" s="18">
        <v>45231</v>
      </c>
      <c r="B169" s="21">
        <v>276.00082151240912</v>
      </c>
      <c r="F169" s="18">
        <v>45200</v>
      </c>
      <c r="G169">
        <v>275.460673246</v>
      </c>
    </row>
    <row r="170" spans="1:7" x14ac:dyDescent="0.3">
      <c r="A170" s="18">
        <v>45261</v>
      </c>
      <c r="B170" s="21">
        <v>276.8012238947951</v>
      </c>
      <c r="F170" s="18">
        <v>45231</v>
      </c>
      <c r="G170">
        <v>277.22591863100001</v>
      </c>
    </row>
    <row r="171" spans="1:7" x14ac:dyDescent="0.3">
      <c r="A171" s="18">
        <v>45292</v>
      </c>
      <c r="B171" s="21">
        <v>279.20939454267983</v>
      </c>
      <c r="F171" s="18">
        <v>45261</v>
      </c>
      <c r="G171">
        <v>277.48166886000001</v>
      </c>
    </row>
    <row r="172" spans="1:7" x14ac:dyDescent="0.3">
      <c r="A172" s="18">
        <v>45323</v>
      </c>
      <c r="B172" s="21">
        <v>280.68920433375604</v>
      </c>
      <c r="F172" s="18">
        <v>45292</v>
      </c>
      <c r="G172">
        <v>279.06169758599998</v>
      </c>
    </row>
    <row r="173" spans="1:7" x14ac:dyDescent="0.3">
      <c r="A173" s="18">
        <v>45352</v>
      </c>
      <c r="B173" s="21">
        <v>282.17685711672493</v>
      </c>
      <c r="F173" s="18">
        <v>45323</v>
      </c>
      <c r="G173">
        <v>279.91093038700001</v>
      </c>
    </row>
    <row r="174" spans="1:7" x14ac:dyDescent="0.3">
      <c r="A174" s="18">
        <v>45383</v>
      </c>
      <c r="B174" s="21">
        <v>283.24912917376849</v>
      </c>
      <c r="F174" s="18">
        <v>45352</v>
      </c>
      <c r="G174">
        <v>280.93909948599998</v>
      </c>
    </row>
    <row r="175" spans="1:7" x14ac:dyDescent="0.3">
      <c r="A175" s="18">
        <v>45413</v>
      </c>
      <c r="B175" s="21">
        <v>285.9116709880019</v>
      </c>
      <c r="F175" s="18">
        <v>45383</v>
      </c>
      <c r="G175">
        <v>281.374229017</v>
      </c>
    </row>
    <row r="176" spans="1:7" x14ac:dyDescent="0.3">
      <c r="A176" s="18">
        <v>45444</v>
      </c>
      <c r="B176" s="21">
        <v>286.42631199578028</v>
      </c>
      <c r="F176" s="18">
        <v>45413</v>
      </c>
      <c r="G176">
        <v>284.04891846200002</v>
      </c>
    </row>
    <row r="177" spans="1:7" x14ac:dyDescent="0.3">
      <c r="A177" s="18">
        <v>45474</v>
      </c>
      <c r="B177" s="21">
        <v>289.49107353413513</v>
      </c>
      <c r="F177" s="18">
        <v>45444</v>
      </c>
      <c r="G177">
        <v>285.62649382400002</v>
      </c>
    </row>
    <row r="178" spans="1:7" x14ac:dyDescent="0.3">
      <c r="A178" s="18">
        <v>45505</v>
      </c>
      <c r="B178" s="21">
        <v>289.75161550031584</v>
      </c>
      <c r="F178" s="18">
        <v>45474</v>
      </c>
      <c r="G178">
        <v>289.550841311</v>
      </c>
    </row>
    <row r="179" spans="1:7" x14ac:dyDescent="0.3">
      <c r="A179" s="18">
        <v>45536</v>
      </c>
      <c r="B179" s="21">
        <v>291.54807551641784</v>
      </c>
      <c r="F179" s="18">
        <v>45505</v>
      </c>
      <c r="G179">
        <v>291.35503049800002</v>
      </c>
    </row>
    <row r="180" spans="1:7" x14ac:dyDescent="0.3">
      <c r="A180" s="18">
        <v>45566</v>
      </c>
      <c r="B180" s="21">
        <v>294.5218658866853</v>
      </c>
      <c r="F180" s="18">
        <v>45536</v>
      </c>
      <c r="G180">
        <v>293.25021002900002</v>
      </c>
    </row>
    <row r="181" spans="1:7" x14ac:dyDescent="0.3">
      <c r="A181" s="18">
        <v>45597</v>
      </c>
      <c r="B181" s="21">
        <v>298.93969387498555</v>
      </c>
      <c r="F181" s="18">
        <v>45566</v>
      </c>
      <c r="G181">
        <v>296.119831691</v>
      </c>
    </row>
    <row r="182" spans="1:7" x14ac:dyDescent="0.3">
      <c r="A182" s="18">
        <v>45627</v>
      </c>
      <c r="B182" s="21">
        <v>301.66004508924789</v>
      </c>
      <c r="F182" s="18">
        <v>45597</v>
      </c>
      <c r="G182">
        <v>300.26122439800002</v>
      </c>
    </row>
    <row r="183" spans="1:7" x14ac:dyDescent="0.3">
      <c r="A183" s="18">
        <v>45658</v>
      </c>
      <c r="B183" s="21">
        <v>304.19398946799754</v>
      </c>
      <c r="F183" s="18">
        <v>45627</v>
      </c>
      <c r="G183">
        <v>302.40177493599998</v>
      </c>
    </row>
    <row r="184" spans="1:7" x14ac:dyDescent="0.3">
      <c r="A184" s="18">
        <v>45689</v>
      </c>
      <c r="B184" s="21">
        <v>308.27018892686874</v>
      </c>
      <c r="F184" s="18">
        <v>45658</v>
      </c>
      <c r="G184">
        <v>304.03470139799998</v>
      </c>
    </row>
    <row r="185" spans="1:7" x14ac:dyDescent="0.3">
      <c r="A185" s="18">
        <v>45717</v>
      </c>
      <c r="B185" s="21">
        <v>310.76717745717639</v>
      </c>
      <c r="F185" s="18">
        <v>45689</v>
      </c>
      <c r="G185">
        <v>307.414196269</v>
      </c>
    </row>
    <row r="186" spans="1:7" x14ac:dyDescent="0.3">
      <c r="A186" s="18">
        <v>45748</v>
      </c>
      <c r="B186" s="21">
        <v>312.32101334446224</v>
      </c>
      <c r="F186" s="18">
        <v>45717</v>
      </c>
      <c r="G186">
        <v>309.40302672799999</v>
      </c>
    </row>
    <row r="187" spans="1:7" x14ac:dyDescent="0.3">
      <c r="A187" s="18">
        <v>45778</v>
      </c>
      <c r="B187" s="21">
        <v>313.71393185019502</v>
      </c>
      <c r="F187" s="18">
        <v>45748</v>
      </c>
      <c r="G187">
        <v>310.25533946500002</v>
      </c>
    </row>
    <row r="188" spans="1:7" x14ac:dyDescent="0.3">
      <c r="A188" s="18">
        <v>45809</v>
      </c>
      <c r="B188" s="21">
        <v>314.73204663917642</v>
      </c>
      <c r="F188" s="18">
        <v>45778</v>
      </c>
      <c r="G188">
        <v>311.67289750700002</v>
      </c>
    </row>
    <row r="189" spans="1:7" x14ac:dyDescent="0.3">
      <c r="A189" s="18">
        <v>45839</v>
      </c>
      <c r="B189" s="21">
        <v>317.56463505892901</v>
      </c>
      <c r="F189" s="18">
        <v>45809</v>
      </c>
      <c r="G189">
        <v>313.85457635500001</v>
      </c>
    </row>
    <row r="190" spans="1:7" x14ac:dyDescent="0.3">
      <c r="A190" s="18">
        <v>45870</v>
      </c>
      <c r="B190" s="21">
        <v>318.58084189111759</v>
      </c>
      <c r="F190" s="18">
        <v>45839</v>
      </c>
      <c r="G190">
        <v>317.62672655400002</v>
      </c>
    </row>
    <row r="191" spans="1:7" x14ac:dyDescent="0.3">
      <c r="A191" s="18">
        <v>45901</v>
      </c>
      <c r="B191" s="21">
        <v>319.2180035748998</v>
      </c>
      <c r="F191" s="18">
        <v>45870</v>
      </c>
      <c r="G191">
        <v>320.33785796000001</v>
      </c>
    </row>
    <row r="192" spans="1:7" x14ac:dyDescent="0.3">
      <c r="A192" s="18">
        <v>45931</v>
      </c>
      <c r="B192" s="21">
        <v>320.75024999205931</v>
      </c>
      <c r="F192" s="18">
        <v>45901</v>
      </c>
      <c r="G192">
        <v>321.08053813499998</v>
      </c>
    </row>
    <row r="193" spans="1:7" x14ac:dyDescent="0.3">
      <c r="A193" s="18">
        <v>45962</v>
      </c>
      <c r="B193" s="21">
        <v>321.8728758670315</v>
      </c>
      <c r="F193" s="18">
        <v>45931</v>
      </c>
      <c r="G193">
        <v>322.48938282799998</v>
      </c>
    </row>
    <row r="194" spans="1:7" x14ac:dyDescent="0.3">
      <c r="A194" s="18">
        <v>45992</v>
      </c>
      <c r="B194" s="21">
        <v>322.83849449463258</v>
      </c>
      <c r="F194" s="18">
        <v>45962</v>
      </c>
      <c r="G194">
        <v>323.294352532</v>
      </c>
    </row>
    <row r="195" spans="1:7" x14ac:dyDescent="0.3">
      <c r="A195" s="18">
        <v>46023</v>
      </c>
      <c r="B195" s="21">
        <v>324.93960134681879</v>
      </c>
      <c r="F195" s="18">
        <v>45992</v>
      </c>
      <c r="G195">
        <v>323.63516566700002</v>
      </c>
    </row>
    <row r="196" spans="1:7" x14ac:dyDescent="0.3">
      <c r="A196" s="18">
        <v>46054</v>
      </c>
      <c r="B196" s="21">
        <v>326.74294854685655</v>
      </c>
      <c r="F196" s="18">
        <v>46023</v>
      </c>
      <c r="G196">
        <v>324.77253076</v>
      </c>
    </row>
    <row r="197" spans="1:7" x14ac:dyDescent="0.3">
      <c r="A197" s="18">
        <v>46082</v>
      </c>
      <c r="B197" s="21">
        <v>328.32720976409934</v>
      </c>
      <c r="F197" s="18">
        <v>46054</v>
      </c>
      <c r="G197">
        <v>325.83739358100001</v>
      </c>
    </row>
    <row r="198" spans="1:7" x14ac:dyDescent="0.3">
      <c r="A198" s="18">
        <v>46113</v>
      </c>
      <c r="B198" s="21">
        <v>330.59689439597003</v>
      </c>
      <c r="F198" s="18">
        <v>46082</v>
      </c>
      <c r="G198">
        <v>326.88717303700003</v>
      </c>
    </row>
    <row r="199" spans="1:7" x14ac:dyDescent="0.3">
      <c r="A199" s="18">
        <v>46143</v>
      </c>
      <c r="B199" s="21">
        <v>331.52279612631406</v>
      </c>
      <c r="F199" s="18">
        <v>46113</v>
      </c>
      <c r="G199">
        <v>328.41029206600001</v>
      </c>
    </row>
    <row r="200" spans="1:7" x14ac:dyDescent="0.3">
      <c r="A200" s="18">
        <v>46174</v>
      </c>
      <c r="B200" s="21">
        <v>331.74247970716709</v>
      </c>
      <c r="F200" s="18">
        <v>46143</v>
      </c>
      <c r="G200">
        <v>329.36569630499997</v>
      </c>
    </row>
    <row r="201" spans="1:7" x14ac:dyDescent="0.3">
      <c r="A201" s="18">
        <v>46204</v>
      </c>
      <c r="B201" s="21">
        <v>331.28242487593133</v>
      </c>
      <c r="F201" s="18">
        <v>46174</v>
      </c>
      <c r="G201">
        <v>330.81618056000002</v>
      </c>
    </row>
    <row r="202" spans="1:7" x14ac:dyDescent="0.3">
      <c r="A202" s="18">
        <v>46235</v>
      </c>
      <c r="B202" s="21">
        <v>330.66744742138309</v>
      </c>
      <c r="F202" s="18">
        <v>46204</v>
      </c>
      <c r="G202">
        <v>331.34618821399999</v>
      </c>
    </row>
    <row r="203" spans="1:7" x14ac:dyDescent="0.3">
      <c r="A203" s="18">
        <v>46266</v>
      </c>
      <c r="B203" s="21">
        <v>330.90397153185137</v>
      </c>
      <c r="F203" s="18">
        <v>46235</v>
      </c>
      <c r="G203">
        <v>332.489743551</v>
      </c>
    </row>
    <row r="204" spans="1:7" x14ac:dyDescent="0.3">
      <c r="A204" s="18">
        <v>46296</v>
      </c>
      <c r="B204" s="21">
        <v>332.36163760955816</v>
      </c>
      <c r="F204" s="18">
        <v>46266</v>
      </c>
      <c r="G204">
        <v>332.83593029899998</v>
      </c>
    </row>
    <row r="205" spans="1:7" x14ac:dyDescent="0.3">
      <c r="A205" s="18">
        <v>46327</v>
      </c>
      <c r="B205" s="21">
        <v>334.34435225901359</v>
      </c>
      <c r="F205" s="18">
        <v>46296</v>
      </c>
      <c r="G205">
        <v>334.16465369500003</v>
      </c>
    </row>
    <row r="206" spans="1:7" x14ac:dyDescent="0.3">
      <c r="A206" s="18">
        <v>46357</v>
      </c>
      <c r="B206" s="21">
        <v>335.86595073138943</v>
      </c>
      <c r="F206" s="18">
        <v>46327</v>
      </c>
      <c r="G206">
        <v>335.82118355900002</v>
      </c>
    </row>
    <row r="207" spans="1:7" x14ac:dyDescent="0.3">
      <c r="F207" s="18">
        <v>46357</v>
      </c>
      <c r="G207">
        <v>336.69682263099997</v>
      </c>
    </row>
    <row r="208" spans="1:7" x14ac:dyDescent="0.3">
      <c r="F208" s="18">
        <v>46388</v>
      </c>
      <c r="G208">
        <v>338.31295939799998</v>
      </c>
    </row>
    <row r="209" spans="6:7" x14ac:dyDescent="0.3">
      <c r="F209" s="18">
        <v>46419</v>
      </c>
      <c r="G209">
        <v>340.15778532600001</v>
      </c>
    </row>
    <row r="210" spans="6:7" x14ac:dyDescent="0.3">
      <c r="F210" s="18">
        <v>46447</v>
      </c>
      <c r="G210">
        <v>342.01267111999999</v>
      </c>
    </row>
    <row r="211" spans="6:7" x14ac:dyDescent="0.3">
      <c r="F211" s="18">
        <v>46478</v>
      </c>
      <c r="G211">
        <v>343.877671636</v>
      </c>
    </row>
    <row r="212" spans="6:7" x14ac:dyDescent="0.3">
      <c r="F212" s="18">
        <v>46508</v>
      </c>
      <c r="G212">
        <v>345.75284203000001</v>
      </c>
    </row>
    <row r="213" spans="6:7" x14ac:dyDescent="0.3">
      <c r="F213" s="18">
        <v>46539</v>
      </c>
      <c r="G213">
        <v>347.638237758</v>
      </c>
    </row>
    <row r="214" spans="6:7" x14ac:dyDescent="0.3">
      <c r="F214" s="18">
        <v>46569</v>
      </c>
      <c r="G214">
        <v>349.53391457999999</v>
      </c>
    </row>
    <row r="215" spans="6:7" x14ac:dyDescent="0.3">
      <c r="F215" s="18">
        <v>46600</v>
      </c>
      <c r="G215">
        <v>351.43992855699997</v>
      </c>
    </row>
    <row r="216" spans="6:7" x14ac:dyDescent="0.3">
      <c r="F216" s="18">
        <v>46631</v>
      </c>
      <c r="G216">
        <v>353.356336059</v>
      </c>
    </row>
    <row r="217" spans="6:7" x14ac:dyDescent="0.3">
      <c r="F217" s="18">
        <v>46661</v>
      </c>
      <c r="G217">
        <v>355.28319376100001</v>
      </c>
    </row>
    <row r="218" spans="6:7" x14ac:dyDescent="0.3">
      <c r="F218" s="18">
        <v>46692</v>
      </c>
      <c r="G218">
        <v>357.220558649</v>
      </c>
    </row>
    <row r="219" spans="6:7" x14ac:dyDescent="0.3">
      <c r="F219" s="18">
        <v>46722</v>
      </c>
      <c r="G219">
        <v>359.16848801899999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9A01EF-F0D5-4B9B-876B-0E61FB6ED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Прогноз</vt:lpstr>
      <vt:lpstr>Прогноз (2)</vt:lpstr>
      <vt:lpstr>РасчетSaar</vt:lpstr>
      <vt:lpstr>Корректировки</vt:lpstr>
      <vt:lpstr>Описания</vt:lpstr>
      <vt:lpstr>Параметры</vt:lpstr>
      <vt:lpstr>Лист1</vt:lpstr>
      <vt:lpstr>for_sa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Метов Валерий Хаутиевич</dc:creator>
  <cp:lastModifiedBy>msuser1087</cp:lastModifiedBy>
  <cp:lastPrinted>2025-04-03T08:57:18Z</cp:lastPrinted>
  <dcterms:created xsi:type="dcterms:W3CDTF">2023-01-27T09:39:11Z</dcterms:created>
  <dcterms:modified xsi:type="dcterms:W3CDTF">2026-06-08T05:52:24Z</dcterms:modified>
</cp:coreProperties>
</file>